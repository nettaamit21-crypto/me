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drawings/vmlDrawing13.vml" ContentType="application/vnd.openxmlformats-officedocument.vmlDrawing"/>
  <Override PartName="/xl/drawings/vmlDrawing14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drawings/vmlDrawing12.vml" ContentType="application/vnd.openxmlformats-officedocument.vmlDrawing"/>
  <Override PartName="/xl/comments13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הוראות" sheetId="1" state="visible" r:id="rId3"/>
    <sheet name="הגדרות" sheetId="2" state="visible" r:id="rId4"/>
    <sheet name="אוגוסט–ספטמבר 2026" sheetId="3" state="visible" r:id="rId5"/>
    <sheet name="אוקטובר 2026" sheetId="4" state="visible" r:id="rId6"/>
    <sheet name="נובמבר 2026" sheetId="5" state="visible" r:id="rId7"/>
    <sheet name="דצמבר 2026" sheetId="6" state="visible" r:id="rId8"/>
    <sheet name="ינואר 2027" sheetId="7" state="visible" r:id="rId9"/>
    <sheet name="פברואר 2027" sheetId="8" state="visible" r:id="rId10"/>
    <sheet name="מרץ 2027" sheetId="9" state="visible" r:id="rId11"/>
    <sheet name="אפריל 2027" sheetId="10" state="visible" r:id="rId12"/>
    <sheet name="מאי 2027" sheetId="11" state="visible" r:id="rId13"/>
    <sheet name="יוני 2027" sheetId="12" state="visible" r:id="rId14"/>
    <sheet name="יולי 2027" sheetId="13" state="visible" r:id="rId15"/>
    <sheet name="אוגוסט 2027" sheetId="14" state="visible" r:id="rId16"/>
    <sheet name="ספטמבר 2027" sheetId="15" state="visible" r:id="rId17"/>
  </sheets>
  <definedNames>
    <definedName function="false" hidden="false" localSheetId="13" name="_xlnm.Print_Area" vbProcedure="false">'אוגוסט 2027'!$A$1:$L$42</definedName>
    <definedName function="false" hidden="false" localSheetId="2" name="_xlnm.Print_Area" vbProcedure="false">'אוגוסט–ספטמבר 2026'!$A$1:$L$49</definedName>
    <definedName function="false" hidden="false" localSheetId="3" name="_xlnm.Print_Area" vbProcedure="false">'אוקטובר 2026'!$A$1:$L$42</definedName>
    <definedName function="false" hidden="false" localSheetId="9" name="_xlnm.Print_Area" vbProcedure="false">'אפריל 2027'!$A$1:$L$42</definedName>
    <definedName function="false" hidden="false" localSheetId="5" name="_xlnm.Print_Area" vbProcedure="false">'דצמבר 2026'!$A$1:$L$42</definedName>
    <definedName function="false" hidden="false" localSheetId="12" name="_xlnm.Print_Area" vbProcedure="false">'יולי 2027'!$A$1:$L$42</definedName>
    <definedName function="false" hidden="false" localSheetId="11" name="_xlnm.Print_Area" vbProcedure="false">'יוני 2027'!$A$1:$L$42</definedName>
    <definedName function="false" hidden="false" localSheetId="6" name="_xlnm.Print_Area" vbProcedure="false">'ינואר 2027'!$A$1:$L$42</definedName>
    <definedName function="false" hidden="false" localSheetId="10" name="_xlnm.Print_Area" vbProcedure="false">'מאי 2027'!$A$1:$L$42</definedName>
    <definedName function="false" hidden="false" localSheetId="8" name="_xlnm.Print_Area" vbProcedure="false">'מרץ 2027'!$A$1:$L$42</definedName>
    <definedName function="false" hidden="false" localSheetId="4" name="_xlnm.Print_Area" vbProcedure="false">'נובמבר 2026'!$A$1:$L$42</definedName>
    <definedName function="false" hidden="false" localSheetId="14" name="_xlnm.Print_Area" vbProcedure="false">'ספטמבר 2027'!$A$1:$L$42</definedName>
    <definedName function="false" hidden="false" localSheetId="7" name="_xlnm.Print_Area" vbProcedure="false">'פברואר 2027'!$A$1:$L$42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FreeSans"/>
            <family val="2"/>
          </rPr>
          <t xml:space="preserve">נלקח מדף הנחיתה של הנגרייה. לשנות אם צריך</t>
        </r>
        <r>
          <rPr>
            <sz val="10"/>
            <rFont val="Arial"/>
            <family val="2"/>
          </rPr>
          <t xml:space="preserve">.</t>
        </r>
      </text>
    </comment>
    <comment ref="C19" authorId="0">
      <text>
        <r>
          <rPr>
            <sz val="10"/>
            <rFont val="FreeSans"/>
            <family val="2"/>
          </rPr>
          <t xml:space="preserve">מפגש שבועי אחד בשבוע. לפי הצעת המחיר שסוכמה עם החווה</t>
        </r>
        <r>
          <rPr>
            <sz val="10"/>
            <rFont val="Arial"/>
            <family val="2"/>
          </rPr>
          <t xml:space="preserve">.</t>
        </r>
      </text>
    </comment>
    <comment ref="C20" authorId="0">
      <text>
        <r>
          <rPr>
            <sz val="10"/>
            <rFont val="FreeSans"/>
            <family val="2"/>
          </rPr>
          <t xml:space="preserve">אם יש קבוצה נוספת ביום אחר (למשל שלישי) – בוחרים כאן, והתאריכים שלו יתווספו לכל חודש</t>
        </r>
        <r>
          <rPr>
            <sz val="10"/>
            <rFont val="Arial"/>
            <family val="2"/>
          </rPr>
          <t xml:space="preserve">.</t>
        </r>
      </text>
    </comment>
    <comment ref="C21" authorId="0">
      <text>
        <r>
          <rPr>
            <sz val="10"/>
            <rFont val="FreeSans"/>
            <family val="2"/>
          </rPr>
          <t xml:space="preserve">לפי הצעת המחיר שסוכמה עם החווה</t>
        </r>
        <r>
          <rPr>
            <sz val="10"/>
            <rFont val="Arial"/>
            <family val="2"/>
          </rPr>
          <t xml:space="preserve">.</t>
        </r>
      </text>
    </comment>
    <comment ref="C23" authorId="0">
      <text>
        <r>
          <rPr>
            <sz val="10"/>
            <rFont val="FreeSans"/>
            <family val="2"/>
          </rPr>
          <t xml:space="preserve">לפי הצעת המחיר שסוכמה עם החווה</t>
        </r>
        <r>
          <rPr>
            <sz val="10"/>
            <rFont val="Arial"/>
            <family val="2"/>
          </rPr>
          <t xml:space="preserve">.</t>
        </r>
      </text>
    </comment>
    <comment ref="C24" authorId="0">
      <text>
        <r>
          <rPr>
            <sz val="10"/>
            <rFont val="FreeSans"/>
            <family val="2"/>
          </rPr>
          <t xml:space="preserve">לפי הצעת המחיר שסוכמה עם החווה</t>
        </r>
        <r>
          <rPr>
            <sz val="10"/>
            <rFont val="Arial"/>
            <family val="2"/>
          </rPr>
          <t xml:space="preserve">.</t>
        </r>
      </text>
    </comment>
    <comment ref="C25" authorId="0">
      <text>
        <r>
          <rPr>
            <sz val="10"/>
            <rFont val="FreeSans"/>
            <family val="2"/>
          </rPr>
          <t xml:space="preserve">לפי הצעת המחיר שסוכמה עם החווה</t>
        </r>
        <r>
          <rPr>
            <sz val="10"/>
            <rFont val="Arial"/>
            <family val="2"/>
          </rPr>
          <t xml:space="preserve">.</t>
        </r>
      </text>
    </comment>
    <comment ref="C27" authorId="0">
      <text>
        <r>
          <rPr>
            <sz val="10"/>
            <rFont val="FreeSans"/>
            <family val="2"/>
          </rPr>
          <t xml:space="preserve">לפי הצעת המחיר שסוכמה עם החווה</t>
        </r>
        <r>
          <rPr>
            <sz val="10"/>
            <rFont val="Arial"/>
            <family val="2"/>
          </rPr>
          <t xml:space="preserve">.</t>
        </r>
      </text>
    </comment>
    <comment ref="C28" authorId="0">
      <text>
        <r>
          <rPr>
            <sz val="10"/>
            <rFont val="FreeSans"/>
            <family val="2"/>
          </rPr>
          <t xml:space="preserve">נכנס אוטומטית לכל מפגש. אפשר לשנות בגיליון ההצעה למפגש מסוים</t>
        </r>
        <r>
          <rPr>
            <sz val="10"/>
            <rFont val="Arial"/>
            <family val="2"/>
          </rPr>
          <t xml:space="preserve">.</t>
        </r>
      </text>
    </comment>
    <comment ref="C29" authorId="0">
      <text>
        <r>
          <rPr>
            <sz val="10"/>
            <rFont val="Arial"/>
            <family val="2"/>
          </rPr>
          <t xml:space="preserve">1 </t>
        </r>
        <r>
          <rPr>
            <sz val="10"/>
            <rFont val="FreeSans"/>
            <family val="2"/>
          </rPr>
          <t xml:space="preserve">עד </t>
        </r>
        <r>
          <rPr>
            <sz val="10"/>
            <rFont val="Arial"/>
            <family val="2"/>
          </rPr>
          <t xml:space="preserve">7 משתתפים – לפי מה שסוכם.</t>
        </r>
      </text>
    </comment>
    <comment ref="C30" authorId="0">
      <text>
        <r>
          <rPr>
            <sz val="10"/>
            <rFont val="FreeSans"/>
            <family val="2"/>
          </rPr>
          <t xml:space="preserve">תנאי הביטול: ביטול עד </t>
        </r>
        <r>
          <rPr>
            <sz val="10"/>
            <rFont val="Arial"/>
            <family val="2"/>
          </rPr>
          <t xml:space="preserve">48 שעות לפני – ללא חיוב. ביטול מאוחר יותר מחויב; ברירת המחדל היא חיוב מלא (תשלום בסיסי + המשתתפים שסוכמו), כי העצים והחומרים כבר נקנו. אפשר לשנות כאן.</t>
        </r>
      </text>
    </comment>
    <comment ref="C31" authorId="0">
      <text>
        <r>
          <rPr>
            <sz val="10"/>
            <rFont val="Arial"/>
            <family val="2"/>
          </rPr>
          <t xml:space="preserve">18% – </t>
        </r>
        <r>
          <rPr>
            <sz val="10"/>
            <rFont val="FreeSans"/>
            <family val="2"/>
          </rPr>
          <t xml:space="preserve">שיעור המע״מ בישראל החל מ־</t>
        </r>
        <r>
          <rPr>
            <sz val="10"/>
            <rFont val="Arial"/>
            <family val="2"/>
          </rPr>
          <t xml:space="preserve">1.1.2025. לעדכן כאן אם ישתנה.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  <comment ref="I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תאריכי המפגשים מתעדכנים לפיו.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  <comment ref="I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תאריכי המפגשים מתעדכנים לפיו.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  <comment ref="I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תאריכי המפגשים מתעדכנים לפיו.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  <comment ref="I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תאריכי המפגשים מתעדכנים לפיו.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  <comment ref="I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תאריכי המפגשים מתעדכנים לפיו.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  <comment ref="I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תאריכי המפגשים מתעדכנים לפיו.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  <comment ref="I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תאריכי המפגשים מתעדכנים לפיו.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  <comment ref="I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תאריכי המפגשים מתעדכנים לפיו.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  <comment ref="I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תאריכי המפגשים מתעדכנים לפיו.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  <comment ref="I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תאריכי המפגשים מתעדכנים לפיו.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  <comment ref="I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תאריכי המפגשים מתעדכנים לפיו.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FreeSans"/>
            <family val="2"/>
          </rPr>
          <t xml:space="preserve">אפשר להקליד תאריך אחר או למחוק </t>
        </r>
        <r>
          <rPr>
            <sz val="10"/>
            <rFont val="Arial"/>
            <family val="2"/>
          </rPr>
          <t xml:space="preserve">(Delete) – </t>
        </r>
        <r>
          <rPr>
            <sz val="10"/>
            <rFont val="FreeSans"/>
            <family val="2"/>
          </rPr>
          <t xml:space="preserve">שורה בלי תאריך לא מחויבת. שאר התאריכים לא זזים</t>
        </r>
        <r>
          <rPr>
            <sz val="10"/>
            <rFont val="Arial"/>
            <family val="2"/>
          </rPr>
          <t xml:space="preserve">.</t>
        </r>
      </text>
    </comment>
    <comment ref="I11" authorId="0">
      <text>
        <r>
          <rPr>
            <sz val="10"/>
            <rFont val="FreeSans"/>
            <family val="2"/>
          </rPr>
          <t xml:space="preserve">אפשר להקליד כל תאריך בחודש (למשל </t>
        </r>
        <r>
          <rPr>
            <sz val="10"/>
            <rFont val="Arial"/>
            <family val="2"/>
          </rPr>
          <t xml:space="preserve">1/11/2026) – תאריכי המפגשים מתעדכנים לפיו.</t>
        </r>
      </text>
    </comment>
  </commentList>
</comments>
</file>

<file path=xl/sharedStrings.xml><?xml version="1.0" encoding="utf-8"?>
<sst xmlns="http://schemas.openxmlformats.org/spreadsheetml/2006/main" count="699" uniqueCount="118">
  <si>
    <t xml:space="preserve">איך משתמשים בקובץ – תכנית חוסן</t>
  </si>
  <si>
    <t xml:space="preserve">חשוב – הגיליונות נעולים</t>
  </si>
  <si>
    <t xml:space="preserve">אפשר לכתוב רק בתאים הצבעוניים (צהוב בהגדרות, שמנת בהצעה). כל השאר – נוסחאות – נעול, כך שאי אפשר למחוק אותן בטעות. אם ממש צריך לשנות משהו אחר: סקירה ← ביטול הגנת גיליון (אין סיסמה).</t>
  </si>
  <si>
    <t xml:space="preserve">1. פעם אחת</t>
  </si>
  <si>
    <t xml:space="preserve">ממלאים את גיליון "הגדרות": שם מלא, מס׳ עוסק מורשה, טלפון ואיש קשר בחווה. תאים צהובים = למילוי. כל הגיליונות מושכים את הפרטים משם.</t>
  </si>
  <si>
    <t xml:space="preserve">2. אוגוסט–ספטמבר 2026</t>
  </si>
  <si>
    <t xml:space="preserve">גיליון אחד ל־19/08–30/09/2026, עם כל ימי שלישי ורביעי בתקופה. מוחקים (Delete) את התאריך של מפגש שלא היה – השורה מתרוקנת ולא מחויבת. מתקנים תאריך שהשתנה, ובשורות הריקות בסוף מוסיפים מפגשים נוספים.</t>
  </si>
  <si>
    <t xml:space="preserve">3. מאוקטובר – בסוף כל חודש</t>
  </si>
  <si>
    <t xml:space="preserve">פותחים את הגיליון של החודש. ימי המפגש (בהגדרות: רביעי, ואפשר להוסיף יום שני) ממולאים אוטומטית. גם כאן אפשר למחוק או לשנות כל תאריך, ולהוסיף תאריכים בשורות הריקות.</t>
  </si>
  <si>
    <t xml:space="preserve">4. סטטוס כל מפגש</t>
  </si>
  <si>
    <t xml:space="preserve">בעמודה "סטטוס" בוחרים: "התקיים"; "בוטל בהתראה" – בוטל עד 48 שעות לפני, ללא חיוב (השורה תימחק בקו); "בוטל ללא התראה" – פחות מ־48 שעות לפני, בחיוב.</t>
  </si>
  <si>
    <t xml:space="preserve">5. משתתפים</t>
  </si>
  <si>
    <t xml:space="preserve">"משתתפים שסוכמו" ממולא אוטומטית מההגדרות (6). אם החווה עדכנה עד 24 שעות לפני – מקלידים את המספר המעודכן. ב"הגיעו בפועל" רושמים כמה הגיעו (1–7). החיוב הוא לפי הגבוה מביניהם – כך אי־הגעה ללא עדכון מחויבת לפי מה שסוכם.</t>
  </si>
  <si>
    <t xml:space="preserve">6. פרויקטים מיוחדים</t>
  </si>
  <si>
    <t xml:space="preserve">בשתי העמודות השמאליות רושמים פרויקטים שאושרו ע״י החווה – תיאור וסכום לפני מע״מ (לפי עלות החומרים). הם נכנסים לסיכום בנפרד.</t>
  </si>
  <si>
    <t xml:space="preserve">7. שליחה</t>
  </si>
  <si>
    <t xml:space="preserve">קובץ ← שמירה בשם / ייצוא ← PDF, ושולחים לחווה. כל גיליון מוגדר לעמוד A4 אחד.</t>
  </si>
  <si>
    <t xml:space="preserve">חודש חדש אחרי ספטמבר 2027</t>
  </si>
  <si>
    <t xml:space="preserve">לוחצים ימני על לשונית של חודש ← העבר או העתק ← יצירת עותק, ומשנים בעותק את התא "חודש השירות" לתאריך כלשהו בחודש החדש (למשל 1/10/2027).</t>
  </si>
  <si>
    <t xml:space="preserve">שינוי מחירים / תנאים</t>
  </si>
  <si>
    <t xml:space="preserve">משנים בגיליון "הגדרות" – כל הגיליונות מתעדכנים.</t>
  </si>
  <si>
    <t xml:space="preserve">מקרא צבעים</t>
  </si>
  <si>
    <t xml:space="preserve">תא צהוב בגיליון "הגדרות" – למילוי פעם אחת</t>
  </si>
  <si>
    <t xml:space="preserve">תא ברקע שמנת בגיליון הצעה – למילוי או לעריכה (תאריכים, סטטוס, משתתפים, פרויקטים)</t>
  </si>
  <si>
    <t xml:space="preserve">דוגמה לשורת פרויקט מיוחד</t>
  </si>
  <si>
    <t xml:space="preserve">פרויקט מיוחד – תיאור</t>
  </si>
  <si>
    <t xml:space="preserve">פרויקט מיוחד – סכום (₪)</t>
  </si>
  <si>
    <t xml:space="preserve">פרגולת עץ לפינת הישיבה</t>
  </si>
  <si>
    <t xml:space="preserve">הגדרות קבועות – ממלאים פעם אחת</t>
  </si>
  <si>
    <t xml:space="preserve">תאים צהובים = למילוי. כל הגיליונות מושכים את הנתונים מכאן.</t>
  </si>
  <si>
    <t xml:space="preserve">פרטי העסק (הספק)</t>
  </si>
  <si>
    <t xml:space="preserve">רשימת ימים</t>
  </si>
  <si>
    <t xml:space="preserve">שם העסק</t>
  </si>
  <si>
    <t xml:space="preserve">הנגרייה</t>
  </si>
  <si>
    <t xml:space="preserve">ראשון</t>
  </si>
  <si>
    <t xml:space="preserve">שם מלא</t>
  </si>
  <si>
    <t xml:space="preserve">(למילוי)</t>
  </si>
  <si>
    <t xml:space="preserve">שני</t>
  </si>
  <si>
    <t xml:space="preserve">עוסק מורשה מס׳</t>
  </si>
  <si>
    <t xml:space="preserve">שלישי</t>
  </si>
  <si>
    <t xml:space="preserve">טלפון</t>
  </si>
  <si>
    <t xml:space="preserve">רביעי</t>
  </si>
  <si>
    <t xml:space="preserve">אימייל</t>
  </si>
  <si>
    <t xml:space="preserve">nettaamit21@gmail.com</t>
  </si>
  <si>
    <t xml:space="preserve">חמישי</t>
  </si>
  <si>
    <t xml:space="preserve">שישי</t>
  </si>
  <si>
    <t xml:space="preserve">פרטי הלקוח</t>
  </si>
  <si>
    <t xml:space="preserve">שבת</t>
  </si>
  <si>
    <t xml:space="preserve">שם הלקוח</t>
  </si>
  <si>
    <t xml:space="preserve">חוות רום</t>
  </si>
  <si>
    <t xml:space="preserve">כתובת</t>
  </si>
  <si>
    <t xml:space="preserve">הר כמון</t>
  </si>
  <si>
    <t xml:space="preserve">איש קשר</t>
  </si>
  <si>
    <t xml:space="preserve">המפגשים והתמחור</t>
  </si>
  <si>
    <t xml:space="preserve">שם התכנית</t>
  </si>
  <si>
    <t xml:space="preserve">תכנית חוסן</t>
  </si>
  <si>
    <t xml:space="preserve">שם הקבוצה (לא חובה)</t>
  </si>
  <si>
    <t xml:space="preserve">הוותיקה</t>
  </si>
  <si>
    <t xml:space="preserve">מס׳ יום</t>
  </si>
  <si>
    <t xml:space="preserve">יום מפגש קבוע</t>
  </si>
  <si>
    <t xml:space="preserve">יום מפגש נוסף (לא חובה)</t>
  </si>
  <si>
    <t xml:space="preserve">שעות עבודה למפגש</t>
  </si>
  <si>
    <t xml:space="preserve">פירוט שעות העבודה</t>
  </si>
  <si>
    <t xml:space="preserve">שעת נסיעה לרכישת עצים ומלאי, שעתיים התארגנות וניקיון, שעתיים סדנא ומפגש צוות שבועי</t>
  </si>
  <si>
    <t xml:space="preserve">שכר עבודה למפגש (₪)</t>
  </si>
  <si>
    <t xml:space="preserve">עלות אחזקה למפגש (₪) – שכירות, חשמל, ביטוח</t>
  </si>
  <si>
    <t xml:space="preserve">בלאי ציוד למפגש (₪) – מסורית גקסון, ניירות שיוף, ברגים</t>
  </si>
  <si>
    <t xml:space="preserve">תשלום בסיסי למפגש (מחושב)</t>
  </si>
  <si>
    <t xml:space="preserve">תקציב עץ למשתתף (₪)</t>
  </si>
  <si>
    <t xml:space="preserve">משתתפים שסוכמו – ברירת מחדל</t>
  </si>
  <si>
    <t xml:space="preserve">מקסימום משתתפים לחיוב</t>
  </si>
  <si>
    <t xml:space="preserve">ביטול ללא התראה (פחות מ־48 שעות) – שיעור חיוב</t>
  </si>
  <si>
    <t xml:space="preserve">שיעור מע״מ</t>
  </si>
  <si>
    <t xml:space="preserve">הערות שיופיעו בהצעה</t>
  </si>
  <si>
    <t xml:space="preserve">הערה 1</t>
  </si>
  <si>
    <t xml:space="preserve">המחירים אינם כוללים מע״מ. מע״מ יתווסף כחוק.</t>
  </si>
  <si>
    <t xml:space="preserve">הערה 2</t>
  </si>
  <si>
    <t xml:space="preserve">פרויקטים גדולים ומיוחדים מתומחרים בנפרד לפי עלות החומרים, באישור החווה.</t>
  </si>
  <si>
    <t xml:space="preserve">הערה 3 (למשל תנאי תשלום)</t>
  </si>
  <si>
    <t xml:space="preserve">תנאי ביטול ותנאים כלליים (מופיעים בתחתית ההצעה)</t>
  </si>
  <si>
    <t xml:space="preserve">תנאי 1</t>
  </si>
  <si>
    <t xml:space="preserve">ביטול מלא של הסדנא: ביטול של עד 48 שעות לפני מועד הסדנא – ללא חיוב.</t>
  </si>
  <si>
    <t xml:space="preserve">תנאי 2</t>
  </si>
  <si>
    <t xml:space="preserve">מספר המשתתפים: הסדנא מתוכננת ומוכנה מראש בהתאם למספר המשתתפים שסוכם, עד 6 משתתפים.</t>
  </si>
  <si>
    <t xml:space="preserve">תנאי 3</t>
  </si>
  <si>
    <t xml:space="preserve">הפחתת מספר המשתתפים: יש לעדכן על שינוי במספר המשתתפים עד 24 שעות לפני הסדנא.</t>
  </si>
  <si>
    <t xml:space="preserve">תנאי 4</t>
  </si>
  <si>
    <t xml:space="preserve">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t>
  </si>
  <si>
    <t xml:space="preserve">הצעת מחיר</t>
  </si>
  <si>
    <t xml:space="preserve">מאת</t>
  </si>
  <si>
    <t xml:space="preserve">לכבוד</t>
  </si>
  <si>
    <t xml:space="preserve">עוסק מורשה</t>
  </si>
  <si>
    <t xml:space="preserve">מס׳ הצעה</t>
  </si>
  <si>
    <t xml:space="preserve">חוסן-2026-08/09</t>
  </si>
  <si>
    <t xml:space="preserve">תקופה</t>
  </si>
  <si>
    <t xml:space="preserve">19/08/2026 – 30/09/2026</t>
  </si>
  <si>
    <t xml:space="preserve">תאריך</t>
  </si>
  <si>
    <t xml:space="preserve">תמחור</t>
  </si>
  <si>
    <t xml:space="preserve">פרויקטים מיוחדים – באישור החווה</t>
  </si>
  <si>
    <t xml:space="preserve">#</t>
  </si>
  <si>
    <t xml:space="preserve">יום</t>
  </si>
  <si>
    <t xml:space="preserve">סטטוס</t>
  </si>
  <si>
    <t xml:space="preserve">משתתפים שסוכמו</t>
  </si>
  <si>
    <t xml:space="preserve">הגיעו בפועל</t>
  </si>
  <si>
    <t xml:space="preserve">משתתפים לחיוב</t>
  </si>
  <si>
    <t xml:space="preserve">תשלום בסיסי (₪)</t>
  </si>
  <si>
    <t xml:space="preserve">תקציב עץ (₪)</t>
  </si>
  <si>
    <t xml:space="preserve">סה״כ למפגש (₪)</t>
  </si>
  <si>
    <t xml:space="preserve">התקיים</t>
  </si>
  <si>
    <t xml:space="preserve">סה״כ</t>
  </si>
  <si>
    <t xml:space="preserve">סטטוס: "בוטל בהתראה" – עד 48 שעות לפני המפגש, ללא חיוב · "בוטל ללא התראה" – פחות מ־48 שעות לפני, בחיוב לפי מספר המשתתפים שסוכם · משתתפים לחיוב = הגבוה מבין שסוכמו (כפי שעודכן עד 24 שעות לפני) ומי שהגיעו בפועל.</t>
  </si>
  <si>
    <t xml:space="preserve">פירוט התמחור</t>
  </si>
  <si>
    <t xml:space="preserve">פרויקטים מיוחדים</t>
  </si>
  <si>
    <t xml:space="preserve">סה״כ לפני מע״מ</t>
  </si>
  <si>
    <t xml:space="preserve">סה״כ לתשלום (כולל מע״מ)</t>
  </si>
  <si>
    <t xml:space="preserve">תנאי ביטול ותנאים כלליים</t>
  </si>
  <si>
    <t xml:space="preserve">חתימה: ____________________</t>
  </si>
  <si>
    <t xml:space="preserve">חודש השירות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</si>
</sst>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₪&quot;"/>
    <numFmt numFmtId="166" formatCode="General"/>
    <numFmt numFmtId="167" formatCode="0"/>
    <numFmt numFmtId="168" formatCode="0%"/>
    <numFmt numFmtId="169" formatCode="dd/mm/yyyy"/>
    <numFmt numFmtId="170" formatCode="[$-40D]mmmm\ yy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9A6535"/>
      <name val="Arial"/>
      <family val="0"/>
      <charset val="1"/>
    </font>
    <font>
      <b val="true"/>
      <sz val="11"/>
      <color rgb="FF2A1F17"/>
      <name val="Arial"/>
      <family val="0"/>
      <charset val="1"/>
    </font>
    <font>
      <sz val="11"/>
      <color rgb="FF2A1F17"/>
      <name val="Arial"/>
      <family val="0"/>
      <charset val="1"/>
    </font>
    <font>
      <b val="true"/>
      <sz val="12"/>
      <color rgb="FF9A653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A7F7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8A7F75"/>
      <name val="Arial"/>
      <family val="0"/>
      <charset val="1"/>
    </font>
    <font>
      <sz val="10"/>
      <color rgb="FF2A1F17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A7F7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22"/>
      <color rgb="FF9A6535"/>
      <name val="Arial"/>
      <family val="0"/>
      <charset val="1"/>
    </font>
    <font>
      <sz val="13"/>
      <color rgb="FF2A1F17"/>
      <name val="Arial"/>
      <family val="0"/>
      <charset val="1"/>
    </font>
    <font>
      <b val="true"/>
      <sz val="11"/>
      <color rgb="FF9A6535"/>
      <name val="Arial"/>
      <family val="0"/>
      <charset val="1"/>
    </font>
    <font>
      <sz val="10"/>
      <color rgb="FF8A7F75"/>
      <name val="Arial"/>
      <family val="0"/>
      <charset val="1"/>
    </font>
    <font>
      <b val="true"/>
      <sz val="10"/>
      <color rgb="FF2A1F17"/>
      <name val="Arial"/>
      <family val="0"/>
      <charset val="1"/>
    </font>
    <font>
      <b val="true"/>
      <sz val="9"/>
      <color rgb="FF2A1F17"/>
      <name val="Arial"/>
      <family val="0"/>
      <charset val="1"/>
    </font>
    <font>
      <i val="true"/>
      <sz val="8"/>
      <color rgb="FF8A7F75"/>
      <name val="Arial"/>
      <family val="0"/>
      <charset val="1"/>
    </font>
    <font>
      <b val="true"/>
      <sz val="10"/>
      <color rgb="FF9A6535"/>
      <name val="Arial"/>
      <family val="0"/>
      <charset val="1"/>
    </font>
    <font>
      <sz val="9"/>
      <color rgb="FF2A1F1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3EDE3"/>
      </patternFill>
    </fill>
    <fill>
      <patternFill patternType="solid">
        <fgColor rgb="FFFBF6EC"/>
        <bgColor rgb="FFF3EDE3"/>
      </patternFill>
    </fill>
    <fill>
      <patternFill patternType="solid">
        <fgColor rgb="FF9A6535"/>
        <bgColor rgb="FF8A7F75"/>
      </patternFill>
    </fill>
    <fill>
      <patternFill patternType="solid">
        <fgColor rgb="FF2A1F17"/>
        <bgColor rgb="FF333333"/>
      </patternFill>
    </fill>
    <fill>
      <patternFill patternType="solid">
        <fgColor rgb="FFE6DAC6"/>
        <bgColor rgb="FFEAD9C0"/>
      </patternFill>
    </fill>
    <fill>
      <patternFill patternType="solid">
        <fgColor rgb="FFEAD9C0"/>
        <bgColor rgb="FFE6DAC6"/>
      </patternFill>
    </fill>
    <fill>
      <patternFill patternType="solid">
        <fgColor rgb="FFF3EDE3"/>
        <bgColor rgb="FFFBF6E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FC3B0"/>
      </left>
      <right style="thin">
        <color rgb="FFCFC3B0"/>
      </right>
      <top style="thin">
        <color rgb="FFCFC3B0"/>
      </top>
      <bottom style="thin">
        <color rgb="FFCFC3B0"/>
      </bottom>
      <diagonal/>
    </border>
    <border diagonalUp="false" diagonalDown="false">
      <left/>
      <right/>
      <top/>
      <bottom style="thin">
        <color rgb="FFCFC3B0"/>
      </bottom>
      <diagonal/>
    </border>
    <border diagonalUp="false" diagonalDown="false">
      <left/>
      <right/>
      <top/>
      <bottom style="medium">
        <color rgb="FF9A6535"/>
      </bottom>
      <diagonal/>
    </border>
    <border diagonalUp="false" diagonalDown="false">
      <left/>
      <right/>
      <top style="thin">
        <color rgb="FF2A1F17"/>
      </top>
      <bottom style="thin">
        <color rgb="FF2A1F17"/>
      </bottom>
      <diagonal/>
    </border>
    <border diagonalUp="false" diagonalDown="false">
      <left/>
      <right/>
      <top style="medium">
        <color rgb="FF2A1F17"/>
      </top>
      <bottom style="medium">
        <color rgb="FF2A1F1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false" indent="0" shrinkToFit="false" readingOrder="2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 readingOrder="2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 readingOrder="2"/>
      <protection locked="true" hidden="false"/>
    </xf>
    <xf numFmtId="164" fontId="13" fillId="2" borderId="2" xfId="0" applyFont="true" applyBorder="true" applyAlignment="true" applyProtection="true">
      <alignment horizontal="right" vertical="center" textRotation="0" wrapText="true" indent="0" shrinkToFit="false" readingOrder="2"/>
      <protection locked="fals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false" indent="0" shrinkToFit="false" readingOrder="2"/>
      <protection locked="true" hidden="false"/>
    </xf>
    <xf numFmtId="167" fontId="13" fillId="2" borderId="2" xfId="0" applyFont="true" applyBorder="true" applyAlignment="true" applyProtection="true">
      <alignment horizontal="right" vertical="center" textRotation="0" wrapText="true" indent="0" shrinkToFit="false" readingOrder="2"/>
      <protection locked="false" hidden="false"/>
    </xf>
    <xf numFmtId="165" fontId="13" fillId="2" borderId="2" xfId="0" applyFont="true" applyBorder="true" applyAlignment="true" applyProtection="true">
      <alignment horizontal="right" vertical="center" textRotation="0" wrapText="true" indent="0" shrinkToFit="false" readingOrder="2"/>
      <protection locked="false" hidden="false"/>
    </xf>
    <xf numFmtId="165" fontId="15" fillId="0" borderId="2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8" fontId="13" fillId="2" borderId="2" xfId="0" applyFont="true" applyBorder="true" applyAlignment="true" applyProtection="true">
      <alignment horizontal="right" vertical="center" textRotation="0" wrapText="true" indent="0" shrinkToFit="false" readingOrder="2"/>
      <protection locked="fals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0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2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2" fillId="3" borderId="0" xfId="0" applyFont="true" applyBorder="true" applyAlignment="true" applyProtection="true">
      <alignment horizontal="right" vertical="center" textRotation="0" wrapText="false" indent="0" shrinkToFit="false" readingOrder="2"/>
      <protection locked="false" hidden="false"/>
    </xf>
    <xf numFmtId="169" fontId="22" fillId="3" borderId="0" xfId="0" applyFont="true" applyBorder="true" applyAlignment="true" applyProtection="true">
      <alignment horizontal="right" vertical="center" textRotation="0" wrapText="false" indent="0" shrinkToFit="false" readingOrder="2"/>
      <protection locked="fals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3" fillId="6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23" fillId="7" borderId="2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9" fontId="12" fillId="3" borderId="2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64" fontId="12" fillId="3" borderId="2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67" fontId="12" fillId="3" borderId="2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22" fillId="0" borderId="2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3" borderId="2" xfId="0" applyFont="true" applyBorder="true" applyAlignment="true" applyProtection="true">
      <alignment horizontal="right" vertical="center" textRotation="0" wrapText="false" indent="0" shrinkToFit="false" readingOrder="2"/>
      <protection locked="false" hidden="false"/>
    </xf>
    <xf numFmtId="165" fontId="12" fillId="3" borderId="2" xfId="0" applyFont="true" applyBorder="true" applyAlignment="true" applyProtection="true">
      <alignment horizontal="center" vertical="center" textRotation="0" wrapText="false" indent="0" shrinkToFit="false" readingOrder="2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7" fontId="22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5" fontId="22" fillId="8" borderId="4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24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25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2" fillId="0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26" fillId="0" borderId="0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22" fillId="0" borderId="2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6" borderId="5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5" fillId="6" borderId="5" xfId="0" applyFont="true" applyBorder="true" applyAlignment="true" applyProtection="false">
      <alignment horizontal="center" vertical="center" textRotation="0" wrapText="false" indent="0" shrinkToFit="false" readingOrder="2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3" borderId="0" xfId="0" applyFont="true" applyBorder="true" applyAlignment="true" applyProtection="true">
      <alignment horizontal="right" vertical="center" textRotation="0" wrapText="false" indent="0" shrinkToFit="false" readingOrder="2"/>
      <protection locked="false" hidden="false"/>
    </xf>
    <xf numFmtId="169" fontId="22" fillId="0" borderId="0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FBF6EC"/>
      </font>
    </dxf>
    <dxf>
      <font>
        <b val="1"/>
        <color rgb="FF9A6535"/>
      </font>
    </dxf>
    <dxf>
      <font>
        <strike val="1"/>
        <color rgb="FFA0A0A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535"/>
      <rgbColor rgb="FF800080"/>
      <rgbColor rgb="FF008080"/>
      <rgbColor rgb="FFCFC3B0"/>
      <rgbColor rgb="FF8A7F75"/>
      <rgbColor rgb="FF9999FF"/>
      <rgbColor rgb="FF993366"/>
      <rgbColor rgb="FFFFF2CC"/>
      <rgbColor rgb="FFFBF6EC"/>
      <rgbColor rgb="FF660066"/>
      <rgbColor rgb="FFFF8080"/>
      <rgbColor rgb="FF0066CC"/>
      <rgbColor rgb="FFE6DAC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DE3"/>
      <rgbColor rgb="FFFFFF99"/>
      <rgbColor rgb="FF99CCFF"/>
      <rgbColor rgb="FFFF99CC"/>
      <rgbColor rgb="FFCC99FF"/>
      <rgbColor rgb="FFEAD9C0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339966"/>
      <rgbColor rgb="FF003300"/>
      <rgbColor rgb="FF2A1F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3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2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19.7" hidden="false" customHeight="false" outlineLevel="0" collapsed="false">
      <c r="B1" s="1" t="s">
        <v>0</v>
      </c>
    </row>
    <row r="3" customFormat="false" ht="48" hidden="false" customHeight="true" outlineLevel="0" collapsed="false">
      <c r="B3" s="2" t="s">
        <v>1</v>
      </c>
      <c r="C3" s="3" t="s">
        <v>2</v>
      </c>
    </row>
    <row r="4" customFormat="false" ht="48" hidden="false" customHeight="true" outlineLevel="0" collapsed="false">
      <c r="B4" s="2" t="s">
        <v>3</v>
      </c>
      <c r="C4" s="3" t="s">
        <v>4</v>
      </c>
    </row>
    <row r="5" customFormat="false" ht="48" hidden="false" customHeight="true" outlineLevel="0" collapsed="false">
      <c r="B5" s="2" t="s">
        <v>5</v>
      </c>
      <c r="C5" s="3" t="s">
        <v>6</v>
      </c>
    </row>
    <row r="6" customFormat="false" ht="48" hidden="false" customHeight="true" outlineLevel="0" collapsed="false">
      <c r="B6" s="2" t="s">
        <v>7</v>
      </c>
      <c r="C6" s="3" t="s">
        <v>8</v>
      </c>
    </row>
    <row r="7" customFormat="false" ht="48" hidden="false" customHeight="true" outlineLevel="0" collapsed="false">
      <c r="B7" s="2" t="s">
        <v>9</v>
      </c>
      <c r="C7" s="3" t="s">
        <v>10</v>
      </c>
    </row>
    <row r="8" customFormat="false" ht="48" hidden="false" customHeight="true" outlineLevel="0" collapsed="false">
      <c r="B8" s="2" t="s">
        <v>11</v>
      </c>
      <c r="C8" s="3" t="s">
        <v>12</v>
      </c>
    </row>
    <row r="9" customFormat="false" ht="48" hidden="false" customHeight="true" outlineLevel="0" collapsed="false">
      <c r="B9" s="2" t="s">
        <v>13</v>
      </c>
      <c r="C9" s="3" t="s">
        <v>14</v>
      </c>
    </row>
    <row r="10" customFormat="false" ht="48" hidden="false" customHeight="true" outlineLevel="0" collapsed="false">
      <c r="B10" s="2" t="s">
        <v>15</v>
      </c>
      <c r="C10" s="3" t="s">
        <v>16</v>
      </c>
    </row>
    <row r="11" customFormat="false" ht="48" hidden="false" customHeight="true" outlineLevel="0" collapsed="false">
      <c r="B11" s="2" t="s">
        <v>17</v>
      </c>
      <c r="C11" s="3" t="s">
        <v>18</v>
      </c>
    </row>
    <row r="12" customFormat="false" ht="48" hidden="false" customHeight="true" outlineLevel="0" collapsed="false">
      <c r="B12" s="2" t="s">
        <v>19</v>
      </c>
      <c r="C12" s="3" t="s">
        <v>20</v>
      </c>
    </row>
    <row r="14" customFormat="false" ht="15" hidden="false" customHeight="false" outlineLevel="0" collapsed="false">
      <c r="B14" s="4" t="s">
        <v>21</v>
      </c>
    </row>
    <row r="15" customFormat="false" ht="15" hidden="false" customHeight="false" outlineLevel="0" collapsed="false">
      <c r="B15" s="5"/>
      <c r="C15" s="6" t="s">
        <v>22</v>
      </c>
    </row>
    <row r="16" customFormat="false" ht="31.5" hidden="false" customHeight="true" outlineLevel="0" collapsed="false">
      <c r="B16" s="7"/>
      <c r="C16" s="8" t="s">
        <v>23</v>
      </c>
    </row>
    <row r="18" customFormat="false" ht="15" hidden="false" customHeight="false" outlineLevel="0" collapsed="false">
      <c r="B18" s="4" t="s">
        <v>24</v>
      </c>
    </row>
    <row r="19" customFormat="false" ht="15" hidden="false" customHeight="false" outlineLevel="0" collapsed="false">
      <c r="B19" s="9" t="s">
        <v>25</v>
      </c>
      <c r="C19" s="9" t="s">
        <v>26</v>
      </c>
    </row>
    <row r="20" customFormat="false" ht="15" hidden="false" customHeight="false" outlineLevel="0" collapsed="false">
      <c r="B20" s="10" t="s">
        <v>27</v>
      </c>
      <c r="C20" s="11" t="n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60"/>
    <col collapsed="false" customWidth="true" hidden="false" outlineLevel="0" max="4" min="4" style="0" width="9"/>
    <col collapsed="false" customWidth="true" hidden="false" outlineLevel="0" max="5" min="5" style="0" width="4"/>
    <col collapsed="false" customWidth="true" hidden="false" outlineLevel="0" max="6" min="6" style="0" width="12"/>
  </cols>
  <sheetData>
    <row r="1" customFormat="false" ht="19.7" hidden="false" customHeight="false" outlineLevel="0" collapsed="false">
      <c r="B1" s="1" t="s">
        <v>28</v>
      </c>
    </row>
    <row r="2" customFormat="false" ht="15" hidden="false" customHeight="false" outlineLevel="0" collapsed="false">
      <c r="B2" s="12" t="s">
        <v>29</v>
      </c>
    </row>
    <row r="4" customFormat="false" ht="15" hidden="false" customHeight="false" outlineLevel="0" collapsed="false">
      <c r="B4" s="13" t="s">
        <v>30</v>
      </c>
      <c r="C4" s="14"/>
      <c r="F4" s="15" t="s">
        <v>31</v>
      </c>
    </row>
    <row r="5" customFormat="false" ht="15" hidden="false" customHeight="false" outlineLevel="0" collapsed="false">
      <c r="B5" s="16" t="s">
        <v>32</v>
      </c>
      <c r="C5" s="17" t="s">
        <v>33</v>
      </c>
      <c r="F5" s="18" t="s">
        <v>34</v>
      </c>
    </row>
    <row r="6" customFormat="false" ht="15" hidden="false" customHeight="false" outlineLevel="0" collapsed="false">
      <c r="B6" s="16" t="s">
        <v>35</v>
      </c>
      <c r="C6" s="17" t="s">
        <v>36</v>
      </c>
      <c r="F6" s="18" t="s">
        <v>37</v>
      </c>
    </row>
    <row r="7" customFormat="false" ht="15" hidden="false" customHeight="false" outlineLevel="0" collapsed="false">
      <c r="B7" s="16" t="s">
        <v>38</v>
      </c>
      <c r="C7" s="17" t="s">
        <v>36</v>
      </c>
      <c r="F7" s="18" t="s">
        <v>39</v>
      </c>
    </row>
    <row r="8" customFormat="false" ht="15" hidden="false" customHeight="false" outlineLevel="0" collapsed="false">
      <c r="B8" s="16" t="s">
        <v>40</v>
      </c>
      <c r="C8" s="17" t="s">
        <v>36</v>
      </c>
      <c r="F8" s="18" t="s">
        <v>41</v>
      </c>
    </row>
    <row r="9" customFormat="false" ht="15" hidden="false" customHeight="false" outlineLevel="0" collapsed="false">
      <c r="B9" s="16" t="s">
        <v>42</v>
      </c>
      <c r="C9" s="17" t="s">
        <v>43</v>
      </c>
      <c r="F9" s="18" t="s">
        <v>44</v>
      </c>
    </row>
    <row r="10" customFormat="false" ht="15" hidden="false" customHeight="false" outlineLevel="0" collapsed="false">
      <c r="F10" s="18" t="s">
        <v>45</v>
      </c>
    </row>
    <row r="11" customFormat="false" ht="15" hidden="false" customHeight="false" outlineLevel="0" collapsed="false">
      <c r="B11" s="13" t="s">
        <v>46</v>
      </c>
      <c r="C11" s="14"/>
      <c r="F11" s="18" t="s">
        <v>47</v>
      </c>
    </row>
    <row r="12" customFormat="false" ht="15" hidden="false" customHeight="false" outlineLevel="0" collapsed="false">
      <c r="B12" s="16" t="s">
        <v>48</v>
      </c>
      <c r="C12" s="17" t="s">
        <v>49</v>
      </c>
    </row>
    <row r="13" customFormat="false" ht="15" hidden="false" customHeight="false" outlineLevel="0" collapsed="false">
      <c r="B13" s="16" t="s">
        <v>50</v>
      </c>
      <c r="C13" s="17" t="s">
        <v>51</v>
      </c>
    </row>
    <row r="14" customFormat="false" ht="15" hidden="false" customHeight="false" outlineLevel="0" collapsed="false">
      <c r="B14" s="16" t="s">
        <v>52</v>
      </c>
      <c r="C14" s="17" t="s">
        <v>36</v>
      </c>
    </row>
    <row r="16" customFormat="false" ht="15" hidden="false" customHeight="false" outlineLevel="0" collapsed="false">
      <c r="B16" s="13" t="s">
        <v>53</v>
      </c>
      <c r="C16" s="14"/>
    </row>
    <row r="17" customFormat="false" ht="15" hidden="false" customHeight="false" outlineLevel="0" collapsed="false">
      <c r="B17" s="16" t="s">
        <v>54</v>
      </c>
      <c r="C17" s="17" t="s">
        <v>55</v>
      </c>
    </row>
    <row r="18" customFormat="false" ht="15" hidden="false" customHeight="false" outlineLevel="0" collapsed="false">
      <c r="B18" s="16" t="s">
        <v>56</v>
      </c>
      <c r="C18" s="17" t="s">
        <v>57</v>
      </c>
      <c r="D18" s="15" t="s">
        <v>58</v>
      </c>
    </row>
    <row r="19" customFormat="false" ht="15" hidden="false" customHeight="false" outlineLevel="0" collapsed="false">
      <c r="B19" s="16" t="s">
        <v>59</v>
      </c>
      <c r="C19" s="17" t="s">
        <v>41</v>
      </c>
      <c r="D19" s="19" t="n">
        <f aca="false">MATCH(C19,$F$5:$F$11,0)</f>
        <v>4</v>
      </c>
    </row>
    <row r="20" customFormat="false" ht="15" hidden="false" customHeight="false" outlineLevel="0" collapsed="false">
      <c r="B20" s="16" t="s">
        <v>60</v>
      </c>
      <c r="C20" s="17"/>
      <c r="D20" s="19" t="n">
        <f aca="false">IFERROR(MATCH(C20,$F$5:$F$11,0),D19)</f>
        <v>4</v>
      </c>
    </row>
    <row r="21" customFormat="false" ht="15" hidden="false" customHeight="false" outlineLevel="0" collapsed="false">
      <c r="B21" s="16" t="s">
        <v>61</v>
      </c>
      <c r="C21" s="20" t="n">
        <v>6</v>
      </c>
    </row>
    <row r="22" customFormat="false" ht="30" hidden="false" customHeight="true" outlineLevel="0" collapsed="false">
      <c r="B22" s="16" t="s">
        <v>62</v>
      </c>
      <c r="C22" s="17" t="s">
        <v>63</v>
      </c>
    </row>
    <row r="23" customFormat="false" ht="15" hidden="false" customHeight="false" outlineLevel="0" collapsed="false">
      <c r="B23" s="16" t="s">
        <v>64</v>
      </c>
      <c r="C23" s="21" t="n">
        <v>1000</v>
      </c>
    </row>
    <row r="24" customFormat="false" ht="15" hidden="false" customHeight="false" outlineLevel="0" collapsed="false">
      <c r="B24" s="16" t="s">
        <v>65</v>
      </c>
      <c r="C24" s="21" t="n">
        <v>150</v>
      </c>
    </row>
    <row r="25" customFormat="false" ht="15" hidden="false" customHeight="false" outlineLevel="0" collapsed="false">
      <c r="B25" s="16" t="s">
        <v>66</v>
      </c>
      <c r="C25" s="21" t="n">
        <v>150</v>
      </c>
    </row>
    <row r="26" customFormat="false" ht="15" hidden="false" customHeight="false" outlineLevel="0" collapsed="false">
      <c r="B26" s="16" t="s">
        <v>67</v>
      </c>
      <c r="C26" s="22" t="n">
        <f aca="false">SUM(C23:C25)</f>
        <v>1300</v>
      </c>
    </row>
    <row r="27" customFormat="false" ht="15" hidden="false" customHeight="false" outlineLevel="0" collapsed="false">
      <c r="B27" s="16" t="s">
        <v>68</v>
      </c>
      <c r="C27" s="21" t="n">
        <v>100</v>
      </c>
    </row>
    <row r="28" customFormat="false" ht="15" hidden="false" customHeight="false" outlineLevel="0" collapsed="false">
      <c r="B28" s="16" t="s">
        <v>69</v>
      </c>
      <c r="C28" s="20" t="n">
        <v>6</v>
      </c>
    </row>
    <row r="29" customFormat="false" ht="15" hidden="false" customHeight="false" outlineLevel="0" collapsed="false">
      <c r="B29" s="16" t="s">
        <v>70</v>
      </c>
      <c r="C29" s="20" t="n">
        <v>7</v>
      </c>
    </row>
    <row r="30" customFormat="false" ht="15" hidden="false" customHeight="false" outlineLevel="0" collapsed="false">
      <c r="B30" s="16" t="s">
        <v>71</v>
      </c>
      <c r="C30" s="23" t="n">
        <v>1</v>
      </c>
    </row>
    <row r="31" customFormat="false" ht="15" hidden="false" customHeight="false" outlineLevel="0" collapsed="false">
      <c r="B31" s="16" t="s">
        <v>72</v>
      </c>
      <c r="C31" s="23" t="n">
        <v>0.18</v>
      </c>
    </row>
    <row r="33" customFormat="false" ht="15" hidden="false" customHeight="false" outlineLevel="0" collapsed="false">
      <c r="B33" s="13" t="s">
        <v>73</v>
      </c>
      <c r="C33" s="14"/>
    </row>
    <row r="34" customFormat="false" ht="30" hidden="false" customHeight="true" outlineLevel="0" collapsed="false">
      <c r="B34" s="16" t="s">
        <v>74</v>
      </c>
      <c r="C34" s="17" t="s">
        <v>75</v>
      </c>
    </row>
    <row r="35" customFormat="false" ht="30" hidden="false" customHeight="true" outlineLevel="0" collapsed="false">
      <c r="B35" s="16" t="s">
        <v>76</v>
      </c>
      <c r="C35" s="17" t="s">
        <v>77</v>
      </c>
    </row>
    <row r="36" customFormat="false" ht="15" hidden="false" customHeight="false" outlineLevel="0" collapsed="false">
      <c r="B36" s="16" t="s">
        <v>78</v>
      </c>
      <c r="C36" s="17"/>
    </row>
    <row r="38" customFormat="false" ht="15" hidden="false" customHeight="false" outlineLevel="0" collapsed="false">
      <c r="B38" s="13" t="s">
        <v>79</v>
      </c>
      <c r="C38" s="14"/>
    </row>
    <row r="39" customFormat="false" ht="18" hidden="false" customHeight="true" outlineLevel="0" collapsed="false">
      <c r="B39" s="16" t="s">
        <v>80</v>
      </c>
      <c r="C39" s="17" t="s">
        <v>81</v>
      </c>
    </row>
    <row r="40" customFormat="false" ht="30" hidden="false" customHeight="true" outlineLevel="0" collapsed="false">
      <c r="B40" s="16" t="s">
        <v>82</v>
      </c>
      <c r="C40" s="17" t="s">
        <v>83</v>
      </c>
    </row>
    <row r="41" customFormat="false" ht="18" hidden="false" customHeight="true" outlineLevel="0" collapsed="false">
      <c r="B41" s="16" t="s">
        <v>84</v>
      </c>
      <c r="C41" s="17" t="s">
        <v>85</v>
      </c>
    </row>
    <row r="42" customFormat="false" ht="30" hidden="false" customHeight="true" outlineLevel="0" collapsed="false">
      <c r="B42" s="16" t="s">
        <v>86</v>
      </c>
      <c r="C42" s="17" t="s">
        <v>87</v>
      </c>
    </row>
  </sheetData>
  <sheetProtection sheet="true"/>
  <dataValidations count="1">
    <dataValidation allowBlank="true" errorStyle="stop" operator="between" showDropDown="false" showErrorMessage="false" showInputMessage="false" sqref="C19:C20" type="list">
      <formula1>$F$5:$F$11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9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customFormat="false" ht="24" hidden="false" customHeight="true" outlineLevel="0" collapsed="false">
      <c r="A2" s="25" t="str">
        <f aca="false">הגדרות!$C$17&amp;" · מפגשים בימי שלישי ורביעי · "&amp;$I$11</f>
        <v>תכנית חוסן · מפגשים בימי שלישי ורביעי · 19/08/2026 – 30/09/2026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">
        <v>93</v>
      </c>
      <c r="D11" s="28"/>
      <c r="E11" s="28"/>
      <c r="G11" s="27" t="s">
        <v>94</v>
      </c>
      <c r="H11" s="27"/>
      <c r="I11" s="29" t="s">
        <v>95</v>
      </c>
      <c r="J11" s="29"/>
      <c r="K11" s="29"/>
      <c r="L11" s="29"/>
    </row>
    <row r="12" customFormat="false" ht="15" hidden="false" customHeight="false" outlineLevel="0" collapsed="false">
      <c r="A12" s="27" t="s">
        <v>96</v>
      </c>
      <c r="B12" s="27"/>
      <c r="C12" s="30" t="n">
        <v>46314</v>
      </c>
      <c r="D12" s="30"/>
      <c r="E12" s="30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v>46253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v>46259</v>
      </c>
      <c r="C16" s="35" t="str">
        <f aca="false">IF(B16="","",INDEX(הגדרות!$F$5:$F$11,WEEKDAY(B16)))</f>
        <v>שלישי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v>46260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v>46266</v>
      </c>
      <c r="C18" s="35" t="str">
        <f aca="false">IF(B18="","",INDEX(הגדרות!$F$5:$F$11,WEEKDAY(B18)))</f>
        <v>שלישי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n">
        <f aca="false">IF(B19="","",COUNT($B$15:B19))</f>
        <v>5</v>
      </c>
      <c r="B19" s="36" t="n">
        <v>46267</v>
      </c>
      <c r="C19" s="35" t="str">
        <f aca="false">IF(B19="","",INDEX(הגדרות!$F$5:$F$11,WEEKDAY(B19)))</f>
        <v>רביעי</v>
      </c>
      <c r="D19" s="37" t="s">
        <v>108</v>
      </c>
      <c r="E19" s="38" t="n">
        <f aca="false">IF(B19="","",הגדרות!$C$28)</f>
        <v>6</v>
      </c>
      <c r="F19" s="38"/>
      <c r="G19" s="39" t="n">
        <f aca="false">IF(B19="","",IF(O19=0,0,MIN(הגדרות!$C$29,MAX(E19,F19))))</f>
        <v>6</v>
      </c>
      <c r="H19" s="40" t="n">
        <f aca="false">IF(B19="","",O19*הגדרות!$C$26)</f>
        <v>1300</v>
      </c>
      <c r="I19" s="40" t="n">
        <f aca="false">IF(B19="","",O19*G19*הגדרות!$C$27)</f>
        <v>600</v>
      </c>
      <c r="J19" s="41" t="n">
        <f aca="false">IF(B19="","",H19+I19)</f>
        <v>1900</v>
      </c>
      <c r="K19" s="42"/>
      <c r="L19" s="43"/>
      <c r="O19" s="44" t="n">
        <f aca="false">IF(B19="","",IF(D19="בוטל בהתראה",0,IF(D19="בוטל ללא התראה",הגדרות!$C$30,1)))</f>
        <v>1</v>
      </c>
    </row>
    <row r="20" customFormat="false" ht="21" hidden="false" customHeight="true" outlineLevel="0" collapsed="false">
      <c r="A20" s="35" t="n">
        <f aca="false">IF(B20="","",COUNT($B$15:B20))</f>
        <v>6</v>
      </c>
      <c r="B20" s="36" t="n">
        <v>46273</v>
      </c>
      <c r="C20" s="35" t="str">
        <f aca="false">IF(B20="","",INDEX(הגדרות!$F$5:$F$11,WEEKDAY(B20)))</f>
        <v>שלישי</v>
      </c>
      <c r="D20" s="37" t="s">
        <v>108</v>
      </c>
      <c r="E20" s="38" t="n">
        <f aca="false">IF(B20="","",הגדרות!$C$28)</f>
        <v>6</v>
      </c>
      <c r="F20" s="38"/>
      <c r="G20" s="39" t="n">
        <f aca="false">IF(B20="","",IF(O20=0,0,MIN(הגדרות!$C$29,MAX(E20,F20))))</f>
        <v>6</v>
      </c>
      <c r="H20" s="40" t="n">
        <f aca="false">IF(B20="","",O20*הגדרות!$C$26)</f>
        <v>1300</v>
      </c>
      <c r="I20" s="40" t="n">
        <f aca="false">IF(B20="","",O20*G20*הגדרות!$C$27)</f>
        <v>600</v>
      </c>
      <c r="J20" s="41" t="n">
        <f aca="false">IF(B20="","",H20+I20)</f>
        <v>1900</v>
      </c>
      <c r="K20" s="42"/>
      <c r="L20" s="43"/>
      <c r="O20" s="44" t="n">
        <f aca="false">IF(B20="","",IF(D20="בוטל בהתראה",0,IF(D20="בוטל ללא התראה",הגדרות!$C$30,1)))</f>
        <v>1</v>
      </c>
    </row>
    <row r="21" customFormat="false" ht="21" hidden="false" customHeight="true" outlineLevel="0" collapsed="false">
      <c r="A21" s="35" t="n">
        <f aca="false">IF(B21="","",COUNT($B$15:B21))</f>
        <v>7</v>
      </c>
      <c r="B21" s="36" t="n">
        <v>46274</v>
      </c>
      <c r="C21" s="35" t="str">
        <f aca="false">IF(B21="","",INDEX(הגדרות!$F$5:$F$11,WEEKDAY(B21)))</f>
        <v>רביעי</v>
      </c>
      <c r="D21" s="37" t="s">
        <v>108</v>
      </c>
      <c r="E21" s="38" t="n">
        <f aca="false">IF(B21="","",הגדרות!$C$28)</f>
        <v>6</v>
      </c>
      <c r="F21" s="38"/>
      <c r="G21" s="39" t="n">
        <f aca="false">IF(B21="","",IF(O21=0,0,MIN(הגדרות!$C$29,MAX(E21,F21))))</f>
        <v>6</v>
      </c>
      <c r="H21" s="40" t="n">
        <f aca="false">IF(B21="","",O21*הגדרות!$C$26)</f>
        <v>1300</v>
      </c>
      <c r="I21" s="40" t="n">
        <f aca="false">IF(B21="","",O21*G21*הגדרות!$C$27)</f>
        <v>600</v>
      </c>
      <c r="J21" s="41" t="n">
        <f aca="false">IF(B21="","",H21+I21)</f>
        <v>1900</v>
      </c>
      <c r="K21" s="42"/>
      <c r="L21" s="43"/>
      <c r="O21" s="44" t="n">
        <f aca="false">IF(B21="","",IF(D21="בוטל בהתראה",0,IF(D21="בוטל ללא התראה",הגדרות!$C$30,1)))</f>
        <v>1</v>
      </c>
    </row>
    <row r="22" customFormat="false" ht="21" hidden="false" customHeight="true" outlineLevel="0" collapsed="false">
      <c r="A22" s="35" t="n">
        <f aca="false">IF(B22="","",COUNT($B$15:B22))</f>
        <v>8</v>
      </c>
      <c r="B22" s="36" t="n">
        <v>46280</v>
      </c>
      <c r="C22" s="35" t="str">
        <f aca="false">IF(B22="","",INDEX(הגדרות!$F$5:$F$11,WEEKDAY(B22)))</f>
        <v>שלישי</v>
      </c>
      <c r="D22" s="37" t="s">
        <v>108</v>
      </c>
      <c r="E22" s="38" t="n">
        <f aca="false">IF(B22="","",הגדרות!$C$28)</f>
        <v>6</v>
      </c>
      <c r="F22" s="38"/>
      <c r="G22" s="39" t="n">
        <f aca="false">IF(B22="","",IF(O22=0,0,MIN(הגדרות!$C$29,MAX(E22,F22))))</f>
        <v>6</v>
      </c>
      <c r="H22" s="40" t="n">
        <f aca="false">IF(B22="","",O22*הגדרות!$C$26)</f>
        <v>1300</v>
      </c>
      <c r="I22" s="40" t="n">
        <f aca="false">IF(B22="","",O22*G22*הגדרות!$C$27)</f>
        <v>600</v>
      </c>
      <c r="J22" s="41" t="n">
        <f aca="false">IF(B22="","",H22+I22)</f>
        <v>1900</v>
      </c>
      <c r="K22" s="42"/>
      <c r="L22" s="43"/>
      <c r="O22" s="44" t="n">
        <f aca="false">IF(B22="","",IF(D22="בוטל בהתראה",0,IF(D22="בוטל ללא התראה",הגדרות!$C$30,1)))</f>
        <v>1</v>
      </c>
    </row>
    <row r="23" customFormat="false" ht="21" hidden="false" customHeight="true" outlineLevel="0" collapsed="false">
      <c r="A23" s="35" t="n">
        <f aca="false">IF(B23="","",COUNT($B$15:B23))</f>
        <v>9</v>
      </c>
      <c r="B23" s="36" t="n">
        <v>46281</v>
      </c>
      <c r="C23" s="35" t="str">
        <f aca="false">IF(B23="","",INDEX(הגדרות!$F$5:$F$11,WEEKDAY(B23)))</f>
        <v>רביעי</v>
      </c>
      <c r="D23" s="37" t="s">
        <v>108</v>
      </c>
      <c r="E23" s="38" t="n">
        <f aca="false">IF(B23="","",הגדרות!$C$28)</f>
        <v>6</v>
      </c>
      <c r="F23" s="38"/>
      <c r="G23" s="39" t="n">
        <f aca="false">IF(B23="","",IF(O23=0,0,MIN(הגדרות!$C$29,MAX(E23,F23))))</f>
        <v>6</v>
      </c>
      <c r="H23" s="40" t="n">
        <f aca="false">IF(B23="","",O23*הגדרות!$C$26)</f>
        <v>1300</v>
      </c>
      <c r="I23" s="40" t="n">
        <f aca="false">IF(B23="","",O23*G23*הגדרות!$C$27)</f>
        <v>600</v>
      </c>
      <c r="J23" s="41" t="n">
        <f aca="false">IF(B23="","",H23+I23)</f>
        <v>1900</v>
      </c>
      <c r="K23" s="42"/>
      <c r="L23" s="43"/>
      <c r="O23" s="44" t="n">
        <f aca="false">IF(B23="","",IF(D23="בוטל בהתראה",0,IF(D23="בוטל ללא התראה",הגדרות!$C$30,1)))</f>
        <v>1</v>
      </c>
    </row>
    <row r="24" customFormat="false" ht="21" hidden="false" customHeight="true" outlineLevel="0" collapsed="false">
      <c r="A24" s="35" t="n">
        <f aca="false">IF(B24="","",COUNT($B$15:B24))</f>
        <v>10</v>
      </c>
      <c r="B24" s="36" t="n">
        <v>46287</v>
      </c>
      <c r="C24" s="35" t="str">
        <f aca="false">IF(B24="","",INDEX(הגדרות!$F$5:$F$11,WEEKDAY(B24)))</f>
        <v>שלישי</v>
      </c>
      <c r="D24" s="37" t="s">
        <v>108</v>
      </c>
      <c r="E24" s="38" t="n">
        <f aca="false">IF(B24="","",הגדרות!$C$28)</f>
        <v>6</v>
      </c>
      <c r="F24" s="38"/>
      <c r="G24" s="39" t="n">
        <f aca="false">IF(B24="","",IF(O24=0,0,MIN(הגדרות!$C$29,MAX(E24,F24))))</f>
        <v>6</v>
      </c>
      <c r="H24" s="40" t="n">
        <f aca="false">IF(B24="","",O24*הגדרות!$C$26)</f>
        <v>1300</v>
      </c>
      <c r="I24" s="40" t="n">
        <f aca="false">IF(B24="","",O24*G24*הגדרות!$C$27)</f>
        <v>600</v>
      </c>
      <c r="J24" s="41" t="n">
        <f aca="false">IF(B24="","",H24+I24)</f>
        <v>1900</v>
      </c>
      <c r="K24" s="42"/>
      <c r="L24" s="43"/>
      <c r="O24" s="44" t="n">
        <f aca="false">IF(B24="","",IF(D24="בוטל בהתראה",0,IF(D24="בוטל ללא התראה",הגדרות!$C$30,1)))</f>
        <v>1</v>
      </c>
    </row>
    <row r="25" customFormat="false" ht="21" hidden="false" customHeight="true" outlineLevel="0" collapsed="false">
      <c r="A25" s="35" t="n">
        <f aca="false">IF(B25="","",COUNT($B$15:B25))</f>
        <v>11</v>
      </c>
      <c r="B25" s="36" t="n">
        <v>46288</v>
      </c>
      <c r="C25" s="35" t="str">
        <f aca="false">IF(B25="","",INDEX(הגדרות!$F$5:$F$11,WEEKDAY(B25)))</f>
        <v>רביעי</v>
      </c>
      <c r="D25" s="37" t="s">
        <v>108</v>
      </c>
      <c r="E25" s="38" t="n">
        <f aca="false">IF(B25="","",הגדרות!$C$28)</f>
        <v>6</v>
      </c>
      <c r="F25" s="38"/>
      <c r="G25" s="39" t="n">
        <f aca="false">IF(B25="","",IF(O25=0,0,MIN(הגדרות!$C$29,MAX(E25,F25))))</f>
        <v>6</v>
      </c>
      <c r="H25" s="40" t="n">
        <f aca="false">IF(B25="","",O25*הגדרות!$C$26)</f>
        <v>1300</v>
      </c>
      <c r="I25" s="40" t="n">
        <f aca="false">IF(B25="","",O25*G25*הגדרות!$C$27)</f>
        <v>600</v>
      </c>
      <c r="J25" s="41" t="n">
        <f aca="false">IF(B25="","",H25+I25)</f>
        <v>1900</v>
      </c>
      <c r="K25" s="42"/>
      <c r="L25" s="43"/>
      <c r="O25" s="44" t="n">
        <f aca="false">IF(B25="","",IF(D25="בוטל בהתראה",0,IF(D25="בוטל ללא התראה",הגדרות!$C$30,1)))</f>
        <v>1</v>
      </c>
    </row>
    <row r="26" customFormat="false" ht="21" hidden="false" customHeight="true" outlineLevel="0" collapsed="false">
      <c r="A26" s="35" t="n">
        <f aca="false">IF(B26="","",COUNT($B$15:B26))</f>
        <v>12</v>
      </c>
      <c r="B26" s="36" t="n">
        <v>46294</v>
      </c>
      <c r="C26" s="35" t="str">
        <f aca="false">IF(B26="","",INDEX(הגדרות!$F$5:$F$11,WEEKDAY(B26)))</f>
        <v>שלישי</v>
      </c>
      <c r="D26" s="37" t="s">
        <v>108</v>
      </c>
      <c r="E26" s="38" t="n">
        <f aca="false">IF(B26="","",הגדרות!$C$28)</f>
        <v>6</v>
      </c>
      <c r="F26" s="38"/>
      <c r="G26" s="39" t="n">
        <f aca="false">IF(B26="","",IF(O26=0,0,MIN(הגדרות!$C$29,MAX(E26,F26))))</f>
        <v>6</v>
      </c>
      <c r="H26" s="40" t="n">
        <f aca="false">IF(B26="","",O26*הגדרות!$C$26)</f>
        <v>1300</v>
      </c>
      <c r="I26" s="40" t="n">
        <f aca="false">IF(B26="","",O26*G26*הגדרות!$C$27)</f>
        <v>600</v>
      </c>
      <c r="J26" s="41" t="n">
        <f aca="false">IF(B26="","",H26+I26)</f>
        <v>1900</v>
      </c>
      <c r="K26" s="42"/>
      <c r="L26" s="43"/>
      <c r="O26" s="44" t="n">
        <f aca="false">IF(B26="","",IF(D26="בוטל בהתראה",0,IF(D26="בוטל ללא התראה",הגדרות!$C$30,1)))</f>
        <v>1</v>
      </c>
    </row>
    <row r="27" customFormat="false" ht="21" hidden="false" customHeight="true" outlineLevel="0" collapsed="false">
      <c r="A27" s="35" t="n">
        <f aca="false">IF(B27="","",COUNT($B$15:B27))</f>
        <v>13</v>
      </c>
      <c r="B27" s="36" t="n">
        <v>46295</v>
      </c>
      <c r="C27" s="35" t="str">
        <f aca="false">IF(B27="","",INDEX(הגדרות!$F$5:$F$11,WEEKDAY(B27)))</f>
        <v>רביעי</v>
      </c>
      <c r="D27" s="37" t="s">
        <v>108</v>
      </c>
      <c r="E27" s="38" t="n">
        <f aca="false">IF(B27="","",הגדרות!$C$28)</f>
        <v>6</v>
      </c>
      <c r="F27" s="38"/>
      <c r="G27" s="39" t="n">
        <f aca="false">IF(B27="","",IF(O27=0,0,MIN(הגדרות!$C$29,MAX(E27,F27))))</f>
        <v>6</v>
      </c>
      <c r="H27" s="40" t="n">
        <f aca="false">IF(B27="","",O27*הגדרות!$C$26)</f>
        <v>1300</v>
      </c>
      <c r="I27" s="40" t="n">
        <f aca="false">IF(B27="","",O27*G27*הגדרות!$C$27)</f>
        <v>600</v>
      </c>
      <c r="J27" s="41" t="n">
        <f aca="false">IF(B27="","",H27+I27)</f>
        <v>1900</v>
      </c>
      <c r="K27" s="42"/>
      <c r="L27" s="43"/>
      <c r="O27" s="44" t="n">
        <f aca="false">IF(B27="","",IF(D27="בוטל בהתראה",0,IF(D27="בוטל ללא התראה",הגדרות!$C$30,1)))</f>
        <v>1</v>
      </c>
    </row>
    <row r="28" customFormat="false" ht="21" hidden="false" customHeight="true" outlineLevel="0" collapsed="false">
      <c r="A28" s="35" t="str">
        <f aca="false">IF(B28="","",COUNT($B$15:B28))</f>
        <v/>
      </c>
      <c r="B28" s="36"/>
      <c r="C28" s="35" t="str">
        <f aca="false">IF(B28="","",INDEX(הגדרות!$F$5:$F$11,WEEKDAY(B28)))</f>
        <v/>
      </c>
      <c r="D28" s="37" t="s">
        <v>108</v>
      </c>
      <c r="E28" s="38" t="str">
        <f aca="false">IF(B28="","",הגדרות!$C$28)</f>
        <v/>
      </c>
      <c r="F28" s="38"/>
      <c r="G28" s="39" t="str">
        <f aca="false">IF(B28="","",IF(O28=0,0,MIN(הגדרות!$C$29,MAX(E28,F28))))</f>
        <v/>
      </c>
      <c r="H28" s="40" t="str">
        <f aca="false">IF(B28="","",O28*הגדרות!$C$26)</f>
        <v/>
      </c>
      <c r="I28" s="40" t="str">
        <f aca="false">IF(B28="","",O28*G28*הגדרות!$C$27)</f>
        <v/>
      </c>
      <c r="J28" s="41" t="str">
        <f aca="false">IF(B28="","",H28+I28)</f>
        <v/>
      </c>
      <c r="K28" s="42"/>
      <c r="L28" s="43"/>
      <c r="O28" s="0" t="str">
        <f aca="false">IF(B28="","",IF(D28="בוטל בהתראה",0,IF(D28="בוטל ללא התראה",הגדרות!$C$30,1)))</f>
        <v/>
      </c>
    </row>
    <row r="29" customFormat="false" ht="21" hidden="false" customHeight="true" outlineLevel="0" collapsed="false">
      <c r="A29" s="35" t="str">
        <f aca="false">IF(B29="","",COUNT($B$15:B29))</f>
        <v/>
      </c>
      <c r="B29" s="36"/>
      <c r="C29" s="35" t="str">
        <f aca="false">IF(B29="","",INDEX(הגדרות!$F$5:$F$11,WEEKDAY(B29)))</f>
        <v/>
      </c>
      <c r="D29" s="37" t="s">
        <v>108</v>
      </c>
      <c r="E29" s="38" t="str">
        <f aca="false">IF(B29="","",הגדרות!$C$28)</f>
        <v/>
      </c>
      <c r="F29" s="38"/>
      <c r="G29" s="39" t="str">
        <f aca="false">IF(B29="","",IF(O29=0,0,MIN(הגדרות!$C$29,MAX(E29,F29))))</f>
        <v/>
      </c>
      <c r="H29" s="40" t="str">
        <f aca="false">IF(B29="","",O29*הגדרות!$C$26)</f>
        <v/>
      </c>
      <c r="I29" s="40" t="str">
        <f aca="false">IF(B29="","",O29*G29*הגדרות!$C$27)</f>
        <v/>
      </c>
      <c r="J29" s="41" t="str">
        <f aca="false">IF(B29="","",H29+I29)</f>
        <v/>
      </c>
      <c r="K29" s="42"/>
      <c r="L29" s="43"/>
      <c r="O29" s="0" t="str">
        <f aca="false">IF(B29="","",IF(D29="בוטל בהתראה",0,IF(D29="בוטל ללא התראה",הגדרות!$C$30,1)))</f>
        <v/>
      </c>
    </row>
    <row r="30" customFormat="false" ht="21" hidden="false" customHeight="true" outlineLevel="0" collapsed="false">
      <c r="A30" s="35" t="str">
        <f aca="false">IF(B30="","",COUNT($B$15:B30))</f>
        <v/>
      </c>
      <c r="B30" s="36"/>
      <c r="C30" s="35" t="str">
        <f aca="false">IF(B30="","",INDEX(הגדרות!$F$5:$F$11,WEEKDAY(B30)))</f>
        <v/>
      </c>
      <c r="D30" s="37" t="s">
        <v>108</v>
      </c>
      <c r="E30" s="38" t="str">
        <f aca="false">IF(B30="","",הגדרות!$C$28)</f>
        <v/>
      </c>
      <c r="F30" s="38"/>
      <c r="G30" s="39" t="str">
        <f aca="false">IF(B30="","",IF(O30=0,0,MIN(הגדרות!$C$29,MAX(E30,F30))))</f>
        <v/>
      </c>
      <c r="H30" s="40" t="str">
        <f aca="false">IF(B30="","",O30*הגדרות!$C$26)</f>
        <v/>
      </c>
      <c r="I30" s="40" t="str">
        <f aca="false">IF(B30="","",O30*G30*הגדרות!$C$27)</f>
        <v/>
      </c>
      <c r="J30" s="41" t="str">
        <f aca="false">IF(B30="","",H30+I30)</f>
        <v/>
      </c>
      <c r="K30" s="42"/>
      <c r="L30" s="43"/>
      <c r="O30" s="0" t="str">
        <f aca="false">IF(B30="","",IF(D30="בוטל בהתראה",0,IF(D30="בוטל ללא התראה",הגדרות!$C$30,1)))</f>
        <v/>
      </c>
    </row>
    <row r="31" customFormat="false" ht="21" hidden="false" customHeight="true" outlineLevel="0" collapsed="false">
      <c r="A31" s="35" t="str">
        <f aca="false">IF(B31="","",COUNT($B$15:B31))</f>
        <v/>
      </c>
      <c r="B31" s="36"/>
      <c r="C31" s="35" t="str">
        <f aca="false">IF(B31="","",INDEX(הגדרות!$F$5:$F$11,WEEKDAY(B31)))</f>
        <v/>
      </c>
      <c r="D31" s="37" t="s">
        <v>108</v>
      </c>
      <c r="E31" s="38" t="str">
        <f aca="false">IF(B31="","",הגדרות!$C$28)</f>
        <v/>
      </c>
      <c r="F31" s="38"/>
      <c r="G31" s="39" t="str">
        <f aca="false">IF(B31="","",IF(O31=0,0,MIN(הגדרות!$C$29,MAX(E31,F31))))</f>
        <v/>
      </c>
      <c r="H31" s="40" t="str">
        <f aca="false">IF(B31="","",O31*הגדרות!$C$26)</f>
        <v/>
      </c>
      <c r="I31" s="40" t="str">
        <f aca="false">IF(B31="","",O31*G31*הגדרות!$C$27)</f>
        <v/>
      </c>
      <c r="J31" s="41" t="str">
        <f aca="false">IF(B31="","",H31+I31)</f>
        <v/>
      </c>
      <c r="K31" s="42"/>
      <c r="L31" s="43"/>
      <c r="O31" s="0" t="str">
        <f aca="false">IF(B31="","",IF(D31="בוטל בהתראה",0,IF(D31="בוטל ללא התראה",הגדרות!$C$30,1)))</f>
        <v/>
      </c>
    </row>
    <row r="32" customFormat="false" ht="21.75" hidden="false" customHeight="true" outlineLevel="0" collapsed="false">
      <c r="A32" s="45" t="s">
        <v>109</v>
      </c>
      <c r="B32" s="45"/>
      <c r="C32" s="45"/>
      <c r="D32" s="45"/>
      <c r="E32" s="45"/>
      <c r="F32" s="45"/>
      <c r="G32" s="46" t="n">
        <f aca="false">SUM(G15:G31)</f>
        <v>78</v>
      </c>
      <c r="H32" s="47" t="n">
        <f aca="false">SUM(H15:H31)</f>
        <v>16900</v>
      </c>
      <c r="I32" s="47" t="n">
        <f aca="false">SUM(I15:I31)</f>
        <v>7800</v>
      </c>
      <c r="J32" s="47" t="n">
        <f aca="false">SUM(J15:J31)</f>
        <v>24700</v>
      </c>
      <c r="K32" s="45"/>
      <c r="L32" s="47" t="n">
        <f aca="false">SUM(L15:L31)</f>
        <v>0</v>
      </c>
    </row>
    <row r="33" customFormat="false" ht="25.5" hidden="false" customHeight="true" outlineLevel="0" collapsed="false">
      <c r="A33" s="48" t="s">
        <v>110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</row>
    <row r="35" customFormat="false" ht="19.5" hidden="false" customHeight="true" outlineLevel="0" collapsed="false">
      <c r="A35" s="49" t="s">
        <v>111</v>
      </c>
      <c r="B35" s="49"/>
      <c r="C35" s="49"/>
      <c r="D35" s="49"/>
      <c r="E35" s="49"/>
      <c r="F35" s="49"/>
      <c r="G35" s="49"/>
      <c r="H35" s="50" t="str">
        <f aca="false">"תשלום בסיסי ("&amp;COUNTIF(O15:O31,"&gt;0")&amp;" מפגשים)"</f>
        <v>תשלום בסיסי (13 מפגשים)</v>
      </c>
      <c r="I35" s="50"/>
      <c r="J35" s="50"/>
      <c r="K35" s="50"/>
      <c r="L35" s="40" t="n">
        <f aca="false">H32</f>
        <v>16900</v>
      </c>
    </row>
    <row r="36" customFormat="false" ht="39.75" hidden="false" customHeight="true" outlineLevel="0" collapsed="false">
      <c r="A36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36" s="51"/>
      <c r="C36" s="51"/>
      <c r="D36" s="51"/>
      <c r="E36" s="51"/>
      <c r="F36" s="51"/>
      <c r="G36" s="51"/>
      <c r="H36" s="50" t="str">
        <f aca="false">"תקציב עץ ("&amp;G32&amp;" משתתפים)"</f>
        <v>תקציב עץ (78 משתתפים)</v>
      </c>
      <c r="I36" s="50"/>
      <c r="J36" s="50"/>
      <c r="K36" s="50"/>
      <c r="L36" s="40" t="n">
        <f aca="false">I32</f>
        <v>7800</v>
      </c>
    </row>
    <row r="37" customFormat="false" ht="27.75" hidden="false" customHeight="true" outlineLevel="0" collapsed="false">
      <c r="A37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7" s="51"/>
      <c r="C37" s="51"/>
      <c r="D37" s="51"/>
      <c r="E37" s="51"/>
      <c r="F37" s="51"/>
      <c r="G37" s="51"/>
      <c r="H37" s="50" t="s">
        <v>112</v>
      </c>
      <c r="I37" s="50"/>
      <c r="J37" s="50"/>
      <c r="K37" s="50"/>
      <c r="L37" s="40" t="n">
        <f aca="false">L32</f>
        <v>0</v>
      </c>
    </row>
    <row r="38" customFormat="false" ht="19.5" hidden="false" customHeight="true" outlineLevel="0" collapsed="false">
      <c r="A38" s="51" t="str">
        <f aca="false">"• תקציב עץ: "&amp;TEXT(הגדרות!$C$27,"#,##0")&amp;" ₪ למשתתף."</f>
        <v>• תקציב עץ: 100 ₪ למשתתף.</v>
      </c>
      <c r="B38" s="51"/>
      <c r="C38" s="51"/>
      <c r="D38" s="51"/>
      <c r="E38" s="51"/>
      <c r="F38" s="51"/>
      <c r="G38" s="51"/>
      <c r="H38" s="52" t="s">
        <v>113</v>
      </c>
      <c r="I38" s="52"/>
      <c r="J38" s="52"/>
      <c r="K38" s="52"/>
      <c r="L38" s="41" t="n">
        <f aca="false">L35+L36+L37</f>
        <v>24700</v>
      </c>
    </row>
    <row r="39" customFormat="false" ht="19.5" hidden="false" customHeight="true" outlineLevel="0" collapsed="false">
      <c r="A39" s="51" t="str">
        <f aca="false">IF(הגדרות!$C$34="","","• "&amp;הגדרות!$C$34)</f>
        <v>• המחירים אינם כוללים מע״מ. מע״מ יתווסף כחוק.</v>
      </c>
      <c r="B39" s="51"/>
      <c r="C39" s="51"/>
      <c r="D39" s="51"/>
      <c r="E39" s="51"/>
      <c r="F39" s="51"/>
      <c r="G39" s="51"/>
      <c r="H39" s="50" t="str">
        <f aca="false">"מע״מ "&amp;ROUND(הגדרות!$C$31*100,1)&amp;"%"</f>
        <v>מע״מ 18%</v>
      </c>
      <c r="I39" s="50"/>
      <c r="J39" s="50"/>
      <c r="K39" s="50"/>
      <c r="L39" s="40" t="n">
        <f aca="false">ROUND(L38*הגדרות!$C$31,2)</f>
        <v>4446</v>
      </c>
    </row>
    <row r="40" customFormat="false" ht="27.75" hidden="false" customHeight="true" outlineLevel="0" collapsed="false">
      <c r="A40" s="51" t="str">
        <f aca="false">IF(הגדרות!$C$35="","","• "&amp;הגדרות!$C$35)</f>
        <v>• פרויקטים גדולים ומיוחדים מתומחרים בנפרד לפי עלות החומרים, באישור החווה.</v>
      </c>
      <c r="B40" s="51"/>
      <c r="C40" s="51"/>
      <c r="D40" s="51"/>
      <c r="E40" s="51"/>
      <c r="F40" s="51"/>
      <c r="G40" s="51"/>
      <c r="H40" s="53" t="s">
        <v>114</v>
      </c>
      <c r="I40" s="53"/>
      <c r="J40" s="53"/>
      <c r="K40" s="53"/>
      <c r="L40" s="54" t="n">
        <f aca="false">L38+L39</f>
        <v>29146</v>
      </c>
    </row>
    <row r="41" customFormat="false" ht="15" hidden="false" customHeight="false" outlineLevel="0" collapsed="false">
      <c r="A41" s="51" t="str">
        <f aca="false">IF(הגדרות!$C$36="","","• "&amp;הגדרות!$C$36)</f>
        <v/>
      </c>
      <c r="B41" s="51"/>
      <c r="C41" s="51"/>
      <c r="D41" s="51"/>
      <c r="E41" s="51"/>
      <c r="F41" s="51"/>
      <c r="G41" s="51"/>
    </row>
    <row r="42" customFormat="false" ht="15" hidden="false" customHeight="false" outlineLevel="0" collapsed="false">
      <c r="A42" s="49" t="s">
        <v>115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</row>
    <row r="43" customFormat="false" ht="15.75" hidden="false" customHeight="true" outlineLevel="0" collapsed="false">
      <c r="A43" s="51" t="str">
        <f aca="false">"• "&amp;הגדרות!$C$39</f>
        <v>• ביטול מלא של הסדנא: ביטול של עד 48 שעות לפני מועד הסדנא – ללא חיוב.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</row>
    <row r="44" customFormat="false" ht="15.75" hidden="false" customHeight="true" outlineLevel="0" collapsed="false">
      <c r="A44" s="51" t="str">
        <f aca="false">"• "&amp;הגדרות!$C$40</f>
        <v>• מספר המשתתפים: הסדנא מתוכננת ומוכנה מראש בהתאם למספר המשתתפים שסוכם, עד 6 משתתפים.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</row>
    <row r="45" customFormat="false" ht="15.75" hidden="false" customHeight="true" outlineLevel="0" collapsed="false">
      <c r="A45" s="51" t="str">
        <f aca="false">"• "&amp;הגדרות!$C$41</f>
        <v>• הפחתת מספר המשתתפים: יש לעדכן על שינוי במספר המשתתפים עד 24 שעות לפני הסדנא.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</row>
    <row r="46" customFormat="false" ht="25.5" hidden="false" customHeight="true" outlineLevel="0" collapsed="false">
      <c r="A46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</row>
    <row r="49" customFormat="false" ht="15" hidden="false" customHeight="false" outlineLevel="0" collapsed="false">
      <c r="A49" s="55" t="str">
        <f aca="false">"בברכה, "&amp;הגדרות!$C$6</f>
        <v>בברכה, (למילוי)</v>
      </c>
      <c r="B49" s="55"/>
      <c r="C49" s="55"/>
      <c r="D49" s="55"/>
      <c r="E49" s="55"/>
      <c r="H49" s="55" t="s">
        <v>116</v>
      </c>
      <c r="I49" s="55"/>
      <c r="J49" s="55"/>
      <c r="K49" s="55"/>
      <c r="L49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32:F32"/>
    <mergeCell ref="A33:L33"/>
    <mergeCell ref="A35:G35"/>
    <mergeCell ref="H35:K35"/>
    <mergeCell ref="A36:G36"/>
    <mergeCell ref="H36:K36"/>
    <mergeCell ref="A37:G37"/>
    <mergeCell ref="H37:K37"/>
    <mergeCell ref="A38:G38"/>
    <mergeCell ref="H38:K38"/>
    <mergeCell ref="A39:G39"/>
    <mergeCell ref="H39:K39"/>
    <mergeCell ref="A40:G40"/>
    <mergeCell ref="H40:K40"/>
    <mergeCell ref="A41:G41"/>
    <mergeCell ref="A42:L42"/>
    <mergeCell ref="A43:L43"/>
    <mergeCell ref="A44:L44"/>
    <mergeCell ref="A45:L45"/>
    <mergeCell ref="A46:L46"/>
    <mergeCell ref="A49:E49"/>
    <mergeCell ref="H49:L49"/>
  </mergeCells>
  <conditionalFormatting sqref="D15:D31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31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31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31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31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56" t="n">
        <f aca="false">DATE(YEAR($I$11),MONTH($I$11),1)</f>
        <v>46296</v>
      </c>
    </row>
    <row r="2" customFormat="false" ht="24" hidden="false" customHeight="true" outlineLevel="0" collapsed="false">
      <c r="A2" s="25" t="str">
        <f aca="false">הגדרות!$C$17&amp;" · "&amp;"מפגש שבועי בימי "&amp;הגדרות!$C$19&amp;IF(הגדרות!$C$20="",""," ו"&amp;הגדרות!$C$20)&amp;IF(הגדרות!$C$18="",""," ("&amp;הגדרות!$C$18&amp;")")&amp;" · "&amp;CHOOSE(MONTH($N$1),"ינואר","פברואר","מרץ","אפריל","מאי","יוני","יולי","אוגוסט","ספטמבר","אוקטובר","נובמבר","דצמבר")&amp;" "&amp;YEAR($N$1)</f>
        <v>תכנית חוסן · מפגש שבועי בימי רביעי (הוותיקה) · אוקטובר 2026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N2" s="56" t="n">
        <f aca="false">EOMONTH($N$1,0)</f>
        <v>46326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tr">
        <f aca="false">"חוסן-"&amp;YEAR($N$1)&amp;"-"&amp;TEXT(MONTH($N$1),"00")</f>
        <v>חוסן-2026-10</v>
      </c>
      <c r="D11" s="28"/>
      <c r="E11" s="28"/>
      <c r="G11" s="27" t="s">
        <v>117</v>
      </c>
      <c r="H11" s="27"/>
      <c r="I11" s="57" t="n">
        <v>46296</v>
      </c>
      <c r="J11" s="57"/>
      <c r="K11" s="57"/>
      <c r="L11" s="57"/>
    </row>
    <row r="12" customFormat="false" ht="15" hidden="false" customHeight="false" outlineLevel="0" collapsed="false">
      <c r="A12" s="27" t="s">
        <v>96</v>
      </c>
      <c r="B12" s="27"/>
      <c r="C12" s="58" t="n">
        <f aca="false">$N$2</f>
        <v>46326</v>
      </c>
      <c r="D12" s="58"/>
      <c r="E12" s="58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f aca="false">IF(N15="","",N15)</f>
        <v>46302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N15" s="56" t="n">
        <f aca="false">$N$1+MIN(MOD(הגדרות!$D$19-WEEKDAY($N$1),7),MOD(הגדרות!$D$20-WEEKDAY($N$1),7))</f>
        <v>46302</v>
      </c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f aca="false">IF(N16="","",N16)</f>
        <v>46309</v>
      </c>
      <c r="C16" s="35" t="str">
        <f aca="false">IF(B16="","",INDEX(הגדרות!$F$5:$F$11,WEEKDAY(B16)))</f>
        <v>רביעי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N16" s="56" t="n">
        <f aca="false">IF(N15="","",IF(N15+MIN(MOD(הגדרות!$D$19-WEEKDAY(N15)-1,7)+1,MOD(הגדרות!$D$20-WEEKDAY(N15)-1,7)+1)&gt;$N$2,"",N15+MIN(MOD(הגדרות!$D$19-WEEKDAY(N15)-1,7)+1,MOD(הגדרות!$D$20-WEEKDAY(N15)-1,7)+1)))</f>
        <v>46309</v>
      </c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f aca="false">IF(N17="","",N17)</f>
        <v>46316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N17" s="56" t="n">
        <f aca="false">IF(N16="","",IF(N16+MIN(MOD(הגדרות!$D$19-WEEKDAY(N16)-1,7)+1,MOD(הגדרות!$D$20-WEEKDAY(N16)-1,7)+1)&gt;$N$2,"",N16+MIN(MOD(הגדרות!$D$19-WEEKDAY(N16)-1,7)+1,MOD(הגדרות!$D$20-WEEKDAY(N16)-1,7)+1)))</f>
        <v>46316</v>
      </c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f aca="false">IF(N18="","",N18)</f>
        <v>46323</v>
      </c>
      <c r="C18" s="35" t="str">
        <f aca="false">IF(B18="","",INDEX(הגדרות!$F$5:$F$11,WEEKDAY(B18)))</f>
        <v>רביעי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N18" s="56" t="n">
        <f aca="false">IF(N17="","",IF(N17+MIN(MOD(הגדרות!$D$19-WEEKDAY(N17)-1,7)+1,MOD(הגדרות!$D$20-WEEKDAY(N17)-1,7)+1)&gt;$N$2,"",N17+MIN(MOD(הגדרות!$D$19-WEEKDAY(N17)-1,7)+1,MOD(הגדרות!$D$20-WEEKDAY(N17)-1,7)+1)))</f>
        <v>46323</v>
      </c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str">
        <f aca="false">IF(B19="","",COUNT($B$15:B19))</f>
        <v/>
      </c>
      <c r="B19" s="36" t="str">
        <f aca="false">IF(N19="","",N19)</f>
        <v/>
      </c>
      <c r="C19" s="35" t="str">
        <f aca="false">IF(B19="","",INDEX(הגדרות!$F$5:$F$11,WEEKDAY(B19)))</f>
        <v/>
      </c>
      <c r="D19" s="37" t="s">
        <v>108</v>
      </c>
      <c r="E19" s="38" t="str">
        <f aca="false">IF(B19="","",הגדרות!$C$28)</f>
        <v/>
      </c>
      <c r="F19" s="38"/>
      <c r="G19" s="39" t="str">
        <f aca="false">IF(B19="","",IF(O19=0,0,MIN(הגדרות!$C$29,MAX(E19,F19))))</f>
        <v/>
      </c>
      <c r="H19" s="40" t="str">
        <f aca="false">IF(B19="","",O19*הגדרות!$C$26)</f>
        <v/>
      </c>
      <c r="I19" s="40" t="str">
        <f aca="false">IF(B19="","",O19*G19*הגדרות!$C$27)</f>
        <v/>
      </c>
      <c r="J19" s="41" t="str">
        <f aca="false">IF(B19="","",H19+I19)</f>
        <v/>
      </c>
      <c r="K19" s="42"/>
      <c r="L19" s="43"/>
      <c r="N19" s="56" t="str">
        <f aca="false">IF(N18="","",IF(N18+MIN(MOD(הגדרות!$D$19-WEEKDAY(N18)-1,7)+1,MOD(הגדרות!$D$20-WEEKDAY(N18)-1,7)+1)&gt;$N$2,"",N18+MIN(MOD(הגדרות!$D$19-WEEKDAY(N18)-1,7)+1,MOD(הגדרות!$D$20-WEEKDAY(N18)-1,7)+1)))</f>
        <v/>
      </c>
      <c r="O19" s="0" t="str">
        <f aca="false">IF(B19="","",IF(D19="בוטל בהתראה",0,IF(D19="בוטל ללא התראה",הגדרות!$C$30,1)))</f>
        <v/>
      </c>
    </row>
    <row r="20" customFormat="false" ht="21" hidden="false" customHeight="true" outlineLevel="0" collapsed="false">
      <c r="A20" s="35" t="str">
        <f aca="false">IF(B20="","",COUNT($B$15:B20))</f>
        <v/>
      </c>
      <c r="B20" s="36" t="str">
        <f aca="false">IF(N20="","",N20)</f>
        <v/>
      </c>
      <c r="C20" s="35" t="str">
        <f aca="false">IF(B20="","",INDEX(הגדרות!$F$5:$F$11,WEEKDAY(B20)))</f>
        <v/>
      </c>
      <c r="D20" s="37" t="s">
        <v>108</v>
      </c>
      <c r="E20" s="38" t="str">
        <f aca="false">IF(B20="","",הגדרות!$C$28)</f>
        <v/>
      </c>
      <c r="F20" s="38"/>
      <c r="G20" s="39" t="str">
        <f aca="false">IF(B20="","",IF(O20=0,0,MIN(הגדרות!$C$29,MAX(E20,F20))))</f>
        <v/>
      </c>
      <c r="H20" s="40" t="str">
        <f aca="false">IF(B20="","",O20*הגדרות!$C$26)</f>
        <v/>
      </c>
      <c r="I20" s="40" t="str">
        <f aca="false">IF(B20="","",O20*G20*הגדרות!$C$27)</f>
        <v/>
      </c>
      <c r="J20" s="41" t="str">
        <f aca="false">IF(B20="","",H20+I20)</f>
        <v/>
      </c>
      <c r="K20" s="42"/>
      <c r="L20" s="43"/>
      <c r="N20" s="56" t="str">
        <f aca="false">IF(N19="","",IF(N19+MIN(MOD(הגדרות!$D$19-WEEKDAY(N19)-1,7)+1,MOD(הגדרות!$D$20-WEEKDAY(N19)-1,7)+1)&gt;$N$2,"",N19+MIN(MOD(הגדרות!$D$19-WEEKDAY(N19)-1,7)+1,MOD(הגדרות!$D$20-WEEKDAY(N19)-1,7)+1)))</f>
        <v/>
      </c>
      <c r="O20" s="0" t="str">
        <f aca="false">IF(B20="","",IF(D20="בוטל בהתראה",0,IF(D20="בוטל ללא התראה",הגדרות!$C$30,1)))</f>
        <v/>
      </c>
    </row>
    <row r="21" customFormat="false" ht="21" hidden="false" customHeight="true" outlineLevel="0" collapsed="false">
      <c r="A21" s="35" t="str">
        <f aca="false">IF(B21="","",COUNT($B$15:B21))</f>
        <v/>
      </c>
      <c r="B21" s="36" t="str">
        <f aca="false">IF(N21="","",N21)</f>
        <v/>
      </c>
      <c r="C21" s="35" t="str">
        <f aca="false">IF(B21="","",INDEX(הגדרות!$F$5:$F$11,WEEKDAY(B21)))</f>
        <v/>
      </c>
      <c r="D21" s="37" t="s">
        <v>108</v>
      </c>
      <c r="E21" s="38" t="str">
        <f aca="false">IF(B21="","",הגדרות!$C$28)</f>
        <v/>
      </c>
      <c r="F21" s="38"/>
      <c r="G21" s="39" t="str">
        <f aca="false">IF(B21="","",IF(O21=0,0,MIN(הגדרות!$C$29,MAX(E21,F21))))</f>
        <v/>
      </c>
      <c r="H21" s="40" t="str">
        <f aca="false">IF(B21="","",O21*הגדרות!$C$26)</f>
        <v/>
      </c>
      <c r="I21" s="40" t="str">
        <f aca="false">IF(B21="","",O21*G21*הגדרות!$C$27)</f>
        <v/>
      </c>
      <c r="J21" s="41" t="str">
        <f aca="false">IF(B21="","",H21+I21)</f>
        <v/>
      </c>
      <c r="K21" s="42"/>
      <c r="L21" s="43"/>
      <c r="N21" s="56" t="str">
        <f aca="false">IF(N20="","",IF(N20+MIN(MOD(הגדרות!$D$19-WEEKDAY(N20)-1,7)+1,MOD(הגדרות!$D$20-WEEKDAY(N20)-1,7)+1)&gt;$N$2,"",N20+MIN(MOD(הגדרות!$D$19-WEEKDAY(N20)-1,7)+1,MOD(הגדרות!$D$20-WEEKDAY(N20)-1,7)+1)))</f>
        <v/>
      </c>
      <c r="O21" s="0" t="str">
        <f aca="false">IF(B21="","",IF(D21="בוטל בהתראה",0,IF(D21="בוטל ללא התראה",הגדרות!$C$30,1)))</f>
        <v/>
      </c>
    </row>
    <row r="22" customFormat="false" ht="21" hidden="false" customHeight="true" outlineLevel="0" collapsed="false">
      <c r="A22" s="35" t="str">
        <f aca="false">IF(B22="","",COUNT($B$15:B22))</f>
        <v/>
      </c>
      <c r="B22" s="36" t="str">
        <f aca="false">IF(N22="","",N22)</f>
        <v/>
      </c>
      <c r="C22" s="35" t="str">
        <f aca="false">IF(B22="","",INDEX(הגדרות!$F$5:$F$11,WEEKDAY(B22)))</f>
        <v/>
      </c>
      <c r="D22" s="37" t="s">
        <v>108</v>
      </c>
      <c r="E22" s="38" t="str">
        <f aca="false">IF(B22="","",הגדרות!$C$28)</f>
        <v/>
      </c>
      <c r="F22" s="38"/>
      <c r="G22" s="39" t="str">
        <f aca="false">IF(B22="","",IF(O22=0,0,MIN(הגדרות!$C$29,MAX(E22,F22))))</f>
        <v/>
      </c>
      <c r="H22" s="40" t="str">
        <f aca="false">IF(B22="","",O22*הגדרות!$C$26)</f>
        <v/>
      </c>
      <c r="I22" s="40" t="str">
        <f aca="false">IF(B22="","",O22*G22*הגדרות!$C$27)</f>
        <v/>
      </c>
      <c r="J22" s="41" t="str">
        <f aca="false">IF(B22="","",H22+I22)</f>
        <v/>
      </c>
      <c r="K22" s="42"/>
      <c r="L22" s="43"/>
      <c r="N22" s="56" t="str">
        <f aca="false">IF(N21="","",IF(N21+MIN(MOD(הגדרות!$D$19-WEEKDAY(N21)-1,7)+1,MOD(הגדרות!$D$20-WEEKDAY(N21)-1,7)+1)&gt;$N$2,"",N21+MIN(MOD(הגדרות!$D$19-WEEKDAY(N21)-1,7)+1,MOD(הגדרות!$D$20-WEEKDAY(N21)-1,7)+1)))</f>
        <v/>
      </c>
      <c r="O22" s="0" t="str">
        <f aca="false">IF(B22="","",IF(D22="בוטל בהתראה",0,IF(D22="בוטל ללא התראה",הגדרות!$C$30,1)))</f>
        <v/>
      </c>
    </row>
    <row r="23" customFormat="false" ht="21" hidden="false" customHeight="true" outlineLevel="0" collapsed="false">
      <c r="A23" s="35" t="str">
        <f aca="false">IF(B23="","",COUNT($B$15:B23))</f>
        <v/>
      </c>
      <c r="B23" s="36" t="str">
        <f aca="false">IF(N23="","",N23)</f>
        <v/>
      </c>
      <c r="C23" s="35" t="str">
        <f aca="false">IF(B23="","",INDEX(הגדרות!$F$5:$F$11,WEEKDAY(B23)))</f>
        <v/>
      </c>
      <c r="D23" s="37" t="s">
        <v>108</v>
      </c>
      <c r="E23" s="38" t="str">
        <f aca="false">IF(B23="","",הגדרות!$C$28)</f>
        <v/>
      </c>
      <c r="F23" s="38"/>
      <c r="G23" s="39" t="str">
        <f aca="false">IF(B23="","",IF(O23=0,0,MIN(הגדרות!$C$29,MAX(E23,F23))))</f>
        <v/>
      </c>
      <c r="H23" s="40" t="str">
        <f aca="false">IF(B23="","",O23*הגדרות!$C$26)</f>
        <v/>
      </c>
      <c r="I23" s="40" t="str">
        <f aca="false">IF(B23="","",O23*G23*הגדרות!$C$27)</f>
        <v/>
      </c>
      <c r="J23" s="41" t="str">
        <f aca="false">IF(B23="","",H23+I23)</f>
        <v/>
      </c>
      <c r="K23" s="42"/>
      <c r="L23" s="43"/>
      <c r="N23" s="56" t="str">
        <f aca="false">IF(N22="","",IF(N22+MIN(MOD(הגדרות!$D$19-WEEKDAY(N22)-1,7)+1,MOD(הגדרות!$D$20-WEEKDAY(N22)-1,7)+1)&gt;$N$2,"",N22+MIN(MOD(הגדרות!$D$19-WEEKDAY(N22)-1,7)+1,MOD(הגדרות!$D$20-WEEKDAY(N22)-1,7)+1)))</f>
        <v/>
      </c>
      <c r="O23" s="0" t="str">
        <f aca="false">IF(B23="","",IF(D23="בוטל בהתראה",0,IF(D23="בוטל ללא התראה",הגדרות!$C$30,1)))</f>
        <v/>
      </c>
    </row>
    <row r="24" customFormat="false" ht="21" hidden="false" customHeight="true" outlineLevel="0" collapsed="false">
      <c r="A24" s="35" t="str">
        <f aca="false">IF(B24="","",COUNT($B$15:B24))</f>
        <v/>
      </c>
      <c r="B24" s="36" t="str">
        <f aca="false">IF(N24="","",N24)</f>
        <v/>
      </c>
      <c r="C24" s="35" t="str">
        <f aca="false">IF(B24="","",INDEX(הגדרות!$F$5:$F$11,WEEKDAY(B24)))</f>
        <v/>
      </c>
      <c r="D24" s="37" t="s">
        <v>108</v>
      </c>
      <c r="E24" s="38" t="str">
        <f aca="false">IF(B24="","",הגדרות!$C$28)</f>
        <v/>
      </c>
      <c r="F24" s="38"/>
      <c r="G24" s="39" t="str">
        <f aca="false">IF(B24="","",IF(O24=0,0,MIN(הגדרות!$C$29,MAX(E24,F24))))</f>
        <v/>
      </c>
      <c r="H24" s="40" t="str">
        <f aca="false">IF(B24="","",O24*הגדרות!$C$26)</f>
        <v/>
      </c>
      <c r="I24" s="40" t="str">
        <f aca="false">IF(B24="","",O24*G24*הגדרות!$C$27)</f>
        <v/>
      </c>
      <c r="J24" s="41" t="str">
        <f aca="false">IF(B24="","",H24+I24)</f>
        <v/>
      </c>
      <c r="K24" s="42"/>
      <c r="L24" s="43"/>
      <c r="N24" s="56" t="str">
        <f aca="false">IF(N23="","",IF(N23+MIN(MOD(הגדרות!$D$19-WEEKDAY(N23)-1,7)+1,MOD(הגדרות!$D$20-WEEKDAY(N23)-1,7)+1)&gt;$N$2,"",N23+MIN(MOD(הגדרות!$D$19-WEEKDAY(N23)-1,7)+1,MOD(הגדרות!$D$20-WEEKDAY(N23)-1,7)+1)))</f>
        <v/>
      </c>
      <c r="O24" s="0" t="str">
        <f aca="false">IF(B24="","",IF(D24="בוטל בהתראה",0,IF(D24="בוטל ללא התראה",הגדרות!$C$30,1)))</f>
        <v/>
      </c>
    </row>
    <row r="25" customFormat="false" ht="21.75" hidden="false" customHeight="true" outlineLevel="0" collapsed="false">
      <c r="A25" s="45" t="s">
        <v>109</v>
      </c>
      <c r="B25" s="45"/>
      <c r="C25" s="45"/>
      <c r="D25" s="45"/>
      <c r="E25" s="45"/>
      <c r="F25" s="45"/>
      <c r="G25" s="46" t="n">
        <f aca="false">SUM(G15:G24)</f>
        <v>24</v>
      </c>
      <c r="H25" s="47" t="n">
        <f aca="false">SUM(H15:H24)</f>
        <v>5200</v>
      </c>
      <c r="I25" s="47" t="n">
        <f aca="false">SUM(I15:I24)</f>
        <v>2400</v>
      </c>
      <c r="J25" s="47" t="n">
        <f aca="false">SUM(J15:J24)</f>
        <v>7600</v>
      </c>
      <c r="K25" s="45"/>
      <c r="L25" s="47" t="n">
        <f aca="false">SUM(L15:L24)</f>
        <v>0</v>
      </c>
    </row>
    <row r="26" customFormat="false" ht="25.5" hidden="false" customHeight="true" outlineLevel="0" collapsed="false">
      <c r="A26" s="48" t="s">
        <v>110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8" customFormat="false" ht="19.5" hidden="false" customHeight="true" outlineLevel="0" collapsed="false">
      <c r="A28" s="49" t="s">
        <v>111</v>
      </c>
      <c r="B28" s="49"/>
      <c r="C28" s="49"/>
      <c r="D28" s="49"/>
      <c r="E28" s="49"/>
      <c r="F28" s="49"/>
      <c r="G28" s="49"/>
      <c r="H28" s="50" t="str">
        <f aca="false">"תשלום בסיסי ("&amp;COUNTIF(O15:O24,"&gt;0")&amp;" מפגשים)"</f>
        <v>תשלום בסיסי (4 מפגשים)</v>
      </c>
      <c r="I28" s="50"/>
      <c r="J28" s="50"/>
      <c r="K28" s="50"/>
      <c r="L28" s="40" t="n">
        <f aca="false">H25</f>
        <v>5200</v>
      </c>
    </row>
    <row r="29" customFormat="false" ht="39.75" hidden="false" customHeight="true" outlineLevel="0" collapsed="false">
      <c r="A29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29" s="51"/>
      <c r="C29" s="51"/>
      <c r="D29" s="51"/>
      <c r="E29" s="51"/>
      <c r="F29" s="51"/>
      <c r="G29" s="51"/>
      <c r="H29" s="50" t="str">
        <f aca="false">"תקציב עץ ("&amp;G25&amp;" משתתפים)"</f>
        <v>תקציב עץ (24 משתתפים)</v>
      </c>
      <c r="I29" s="50"/>
      <c r="J29" s="50"/>
      <c r="K29" s="50"/>
      <c r="L29" s="40" t="n">
        <f aca="false">I25</f>
        <v>2400</v>
      </c>
    </row>
    <row r="30" customFormat="false" ht="27.75" hidden="false" customHeight="true" outlineLevel="0" collapsed="false">
      <c r="A30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0" s="51"/>
      <c r="C30" s="51"/>
      <c r="D30" s="51"/>
      <c r="E30" s="51"/>
      <c r="F30" s="51"/>
      <c r="G30" s="51"/>
      <c r="H30" s="50" t="s">
        <v>112</v>
      </c>
      <c r="I30" s="50"/>
      <c r="J30" s="50"/>
      <c r="K30" s="50"/>
      <c r="L30" s="40" t="n">
        <f aca="false">L25</f>
        <v>0</v>
      </c>
    </row>
    <row r="31" customFormat="false" ht="19.5" hidden="false" customHeight="true" outlineLevel="0" collapsed="false">
      <c r="A31" s="51" t="str">
        <f aca="false">"• תקציב עץ: "&amp;TEXT(הגדרות!$C$27,"#,##0")&amp;" ₪ למשתתף."</f>
        <v>• תקציב עץ: 100 ₪ למשתתף.</v>
      </c>
      <c r="B31" s="51"/>
      <c r="C31" s="51"/>
      <c r="D31" s="51"/>
      <c r="E31" s="51"/>
      <c r="F31" s="51"/>
      <c r="G31" s="51"/>
      <c r="H31" s="52" t="s">
        <v>113</v>
      </c>
      <c r="I31" s="52"/>
      <c r="J31" s="52"/>
      <c r="K31" s="52"/>
      <c r="L31" s="41" t="n">
        <f aca="false">L28+L29+L30</f>
        <v>7600</v>
      </c>
    </row>
    <row r="32" customFormat="false" ht="19.5" hidden="false" customHeight="true" outlineLevel="0" collapsed="false">
      <c r="A32" s="51" t="str">
        <f aca="false">IF(הגדרות!$C$34="","","• "&amp;הגדרות!$C$34)</f>
        <v>• המחירים אינם כוללים מע״מ. מע״מ יתווסף כחוק.</v>
      </c>
      <c r="B32" s="51"/>
      <c r="C32" s="51"/>
      <c r="D32" s="51"/>
      <c r="E32" s="51"/>
      <c r="F32" s="51"/>
      <c r="G32" s="51"/>
      <c r="H32" s="50" t="str">
        <f aca="false">"מע״מ "&amp;ROUND(הגדרות!$C$31*100,1)&amp;"%"</f>
        <v>מע״מ 18%</v>
      </c>
      <c r="I32" s="50"/>
      <c r="J32" s="50"/>
      <c r="K32" s="50"/>
      <c r="L32" s="40" t="n">
        <f aca="false">ROUND(L31*הגדרות!$C$31,2)</f>
        <v>1368</v>
      </c>
    </row>
    <row r="33" customFormat="false" ht="27.75" hidden="false" customHeight="true" outlineLevel="0" collapsed="false">
      <c r="A33" s="51" t="str">
        <f aca="false">IF(הגדרות!$C$35="","","• "&amp;הגדרות!$C$35)</f>
        <v>• פרויקטים גדולים ומיוחדים מתומחרים בנפרד לפי עלות החומרים, באישור החווה.</v>
      </c>
      <c r="B33" s="51"/>
      <c r="C33" s="51"/>
      <c r="D33" s="51"/>
      <c r="E33" s="51"/>
      <c r="F33" s="51"/>
      <c r="G33" s="51"/>
      <c r="H33" s="53" t="s">
        <v>114</v>
      </c>
      <c r="I33" s="53"/>
      <c r="J33" s="53"/>
      <c r="K33" s="53"/>
      <c r="L33" s="54" t="n">
        <f aca="false">L31+L32</f>
        <v>8968</v>
      </c>
    </row>
    <row r="34" customFormat="false" ht="15" hidden="false" customHeight="false" outlineLevel="0" collapsed="false">
      <c r="A34" s="51" t="str">
        <f aca="false">IF(הגדרות!$C$36="","","• "&amp;הגדרות!$C$36)</f>
        <v/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9" t="s">
        <v>115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5.75" hidden="false" customHeight="true" outlineLevel="0" collapsed="false">
      <c r="A36" s="51" t="str">
        <f aca="false">"• "&amp;הגדרות!$C$39</f>
        <v>• ביטול מלא של הסדנא: ביטול של עד 48 שעות לפני מועד הסדנא – ללא חיוב.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customFormat="false" ht="15.75" hidden="false" customHeight="true" outlineLevel="0" collapsed="false">
      <c r="A37" s="51" t="str">
        <f aca="false">"• "&amp;הגדרות!$C$40</f>
        <v>• מספר המשתתפים: הסדנא מתוכננת ומוכנה מראש בהתאם למספר המשתתפים שסוכם, עד 6 משתתפים.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15.75" hidden="false" customHeight="true" outlineLevel="0" collapsed="false">
      <c r="A38" s="51" t="str">
        <f aca="false">"• "&amp;הגדרות!$C$41</f>
        <v>• הפחתת מספר המשתתפים: יש לעדכן על שינוי במספר המשתתפים עד 24 שעות לפני הסדנא.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5.5" hidden="false" customHeight="true" outlineLevel="0" collapsed="false">
      <c r="A39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2" customFormat="false" ht="15" hidden="false" customHeight="false" outlineLevel="0" collapsed="false">
      <c r="A42" s="55" t="str">
        <f aca="false">"בברכה, "&amp;הגדרות!$C$6</f>
        <v>בברכה, (למילוי)</v>
      </c>
      <c r="B42" s="55"/>
      <c r="C42" s="55"/>
      <c r="D42" s="55"/>
      <c r="E42" s="55"/>
      <c r="H42" s="55" t="s">
        <v>116</v>
      </c>
      <c r="I42" s="55"/>
      <c r="J42" s="55"/>
      <c r="K42" s="55"/>
      <c r="L42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25:F25"/>
    <mergeCell ref="A26:L26"/>
    <mergeCell ref="A28:G28"/>
    <mergeCell ref="H28:K28"/>
    <mergeCell ref="A29:G29"/>
    <mergeCell ref="H29:K29"/>
    <mergeCell ref="A30:G30"/>
    <mergeCell ref="H30:K30"/>
    <mergeCell ref="A31:G31"/>
    <mergeCell ref="H31:K31"/>
    <mergeCell ref="A32:G32"/>
    <mergeCell ref="H32:K32"/>
    <mergeCell ref="A33:G33"/>
    <mergeCell ref="H33:K33"/>
    <mergeCell ref="A34:G34"/>
    <mergeCell ref="A35:L35"/>
    <mergeCell ref="A36:L36"/>
    <mergeCell ref="A37:L37"/>
    <mergeCell ref="A38:L38"/>
    <mergeCell ref="A39:L39"/>
    <mergeCell ref="A42:E42"/>
    <mergeCell ref="H42:L42"/>
  </mergeCells>
  <conditionalFormatting sqref="D15:D24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24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24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24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24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56" t="n">
        <f aca="false">DATE(YEAR($I$11),MONTH($I$11),1)</f>
        <v>46327</v>
      </c>
    </row>
    <row r="2" customFormat="false" ht="24" hidden="false" customHeight="true" outlineLevel="0" collapsed="false">
      <c r="A2" s="25" t="str">
        <f aca="false">הגדרות!$C$17&amp;" · "&amp;"מפגש שבועי בימי "&amp;הגדרות!$C$19&amp;IF(הגדרות!$C$20="",""," ו"&amp;הגדרות!$C$20)&amp;IF(הגדרות!$C$18="",""," ("&amp;הגדרות!$C$18&amp;")")&amp;" · "&amp;CHOOSE(MONTH($N$1),"ינואר","פברואר","מרץ","אפריל","מאי","יוני","יולי","אוגוסט","ספטמבר","אוקטובר","נובמבר","דצמבר")&amp;" "&amp;YEAR($N$1)</f>
        <v>תכנית חוסן · מפגש שבועי בימי רביעי (הוותיקה) · נובמבר 2026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N2" s="56" t="n">
        <f aca="false">EOMONTH($N$1,0)</f>
        <v>46356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tr">
        <f aca="false">"חוסן-"&amp;YEAR($N$1)&amp;"-"&amp;TEXT(MONTH($N$1),"00")</f>
        <v>חוסן-2026-11</v>
      </c>
      <c r="D11" s="28"/>
      <c r="E11" s="28"/>
      <c r="G11" s="27" t="s">
        <v>117</v>
      </c>
      <c r="H11" s="27"/>
      <c r="I11" s="57" t="n">
        <v>46327</v>
      </c>
      <c r="J11" s="57"/>
      <c r="K11" s="57"/>
      <c r="L11" s="57"/>
    </row>
    <row r="12" customFormat="false" ht="15" hidden="false" customHeight="false" outlineLevel="0" collapsed="false">
      <c r="A12" s="27" t="s">
        <v>96</v>
      </c>
      <c r="B12" s="27"/>
      <c r="C12" s="58" t="n">
        <f aca="false">$N$2</f>
        <v>46356</v>
      </c>
      <c r="D12" s="58"/>
      <c r="E12" s="58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f aca="false">IF(N15="","",N15)</f>
        <v>46330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N15" s="56" t="n">
        <f aca="false">$N$1+MIN(MOD(הגדרות!$D$19-WEEKDAY($N$1),7),MOD(הגדרות!$D$20-WEEKDAY($N$1),7))</f>
        <v>46330</v>
      </c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f aca="false">IF(N16="","",N16)</f>
        <v>46337</v>
      </c>
      <c r="C16" s="35" t="str">
        <f aca="false">IF(B16="","",INDEX(הגדרות!$F$5:$F$11,WEEKDAY(B16)))</f>
        <v>רביעי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N16" s="56" t="n">
        <f aca="false">IF(N15="","",IF(N15+MIN(MOD(הגדרות!$D$19-WEEKDAY(N15)-1,7)+1,MOD(הגדרות!$D$20-WEEKDAY(N15)-1,7)+1)&gt;$N$2,"",N15+MIN(MOD(הגדרות!$D$19-WEEKDAY(N15)-1,7)+1,MOD(הגדרות!$D$20-WEEKDAY(N15)-1,7)+1)))</f>
        <v>46337</v>
      </c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f aca="false">IF(N17="","",N17)</f>
        <v>46344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N17" s="56" t="n">
        <f aca="false">IF(N16="","",IF(N16+MIN(MOD(הגדרות!$D$19-WEEKDAY(N16)-1,7)+1,MOD(הגדרות!$D$20-WEEKDAY(N16)-1,7)+1)&gt;$N$2,"",N16+MIN(MOD(הגדרות!$D$19-WEEKDAY(N16)-1,7)+1,MOD(הגדרות!$D$20-WEEKDAY(N16)-1,7)+1)))</f>
        <v>46344</v>
      </c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f aca="false">IF(N18="","",N18)</f>
        <v>46351</v>
      </c>
      <c r="C18" s="35" t="str">
        <f aca="false">IF(B18="","",INDEX(הגדרות!$F$5:$F$11,WEEKDAY(B18)))</f>
        <v>רביעי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N18" s="56" t="n">
        <f aca="false">IF(N17="","",IF(N17+MIN(MOD(הגדרות!$D$19-WEEKDAY(N17)-1,7)+1,MOD(הגדרות!$D$20-WEEKDAY(N17)-1,7)+1)&gt;$N$2,"",N17+MIN(MOD(הגדרות!$D$19-WEEKDAY(N17)-1,7)+1,MOD(הגדרות!$D$20-WEEKDAY(N17)-1,7)+1)))</f>
        <v>46351</v>
      </c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str">
        <f aca="false">IF(B19="","",COUNT($B$15:B19))</f>
        <v/>
      </c>
      <c r="B19" s="36" t="str">
        <f aca="false">IF(N19="","",N19)</f>
        <v/>
      </c>
      <c r="C19" s="35" t="str">
        <f aca="false">IF(B19="","",INDEX(הגדרות!$F$5:$F$11,WEEKDAY(B19)))</f>
        <v/>
      </c>
      <c r="D19" s="37" t="s">
        <v>108</v>
      </c>
      <c r="E19" s="38" t="str">
        <f aca="false">IF(B19="","",הגדרות!$C$28)</f>
        <v/>
      </c>
      <c r="F19" s="38"/>
      <c r="G19" s="39" t="str">
        <f aca="false">IF(B19="","",IF(O19=0,0,MIN(הגדרות!$C$29,MAX(E19,F19))))</f>
        <v/>
      </c>
      <c r="H19" s="40" t="str">
        <f aca="false">IF(B19="","",O19*הגדרות!$C$26)</f>
        <v/>
      </c>
      <c r="I19" s="40" t="str">
        <f aca="false">IF(B19="","",O19*G19*הגדרות!$C$27)</f>
        <v/>
      </c>
      <c r="J19" s="41" t="str">
        <f aca="false">IF(B19="","",H19+I19)</f>
        <v/>
      </c>
      <c r="K19" s="42"/>
      <c r="L19" s="43"/>
      <c r="N19" s="56" t="str">
        <f aca="false">IF(N18="","",IF(N18+MIN(MOD(הגדרות!$D$19-WEEKDAY(N18)-1,7)+1,MOD(הגדרות!$D$20-WEEKDAY(N18)-1,7)+1)&gt;$N$2,"",N18+MIN(MOD(הגדרות!$D$19-WEEKDAY(N18)-1,7)+1,MOD(הגדרות!$D$20-WEEKDAY(N18)-1,7)+1)))</f>
        <v/>
      </c>
      <c r="O19" s="0" t="str">
        <f aca="false">IF(B19="","",IF(D19="בוטל בהתראה",0,IF(D19="בוטל ללא התראה",הגדרות!$C$30,1)))</f>
        <v/>
      </c>
    </row>
    <row r="20" customFormat="false" ht="21" hidden="false" customHeight="true" outlineLevel="0" collapsed="false">
      <c r="A20" s="35" t="str">
        <f aca="false">IF(B20="","",COUNT($B$15:B20))</f>
        <v/>
      </c>
      <c r="B20" s="36" t="str">
        <f aca="false">IF(N20="","",N20)</f>
        <v/>
      </c>
      <c r="C20" s="35" t="str">
        <f aca="false">IF(B20="","",INDEX(הגדרות!$F$5:$F$11,WEEKDAY(B20)))</f>
        <v/>
      </c>
      <c r="D20" s="37" t="s">
        <v>108</v>
      </c>
      <c r="E20" s="38" t="str">
        <f aca="false">IF(B20="","",הגדרות!$C$28)</f>
        <v/>
      </c>
      <c r="F20" s="38"/>
      <c r="G20" s="39" t="str">
        <f aca="false">IF(B20="","",IF(O20=0,0,MIN(הגדרות!$C$29,MAX(E20,F20))))</f>
        <v/>
      </c>
      <c r="H20" s="40" t="str">
        <f aca="false">IF(B20="","",O20*הגדרות!$C$26)</f>
        <v/>
      </c>
      <c r="I20" s="40" t="str">
        <f aca="false">IF(B20="","",O20*G20*הגדרות!$C$27)</f>
        <v/>
      </c>
      <c r="J20" s="41" t="str">
        <f aca="false">IF(B20="","",H20+I20)</f>
        <v/>
      </c>
      <c r="K20" s="42"/>
      <c r="L20" s="43"/>
      <c r="N20" s="56" t="str">
        <f aca="false">IF(N19="","",IF(N19+MIN(MOD(הגדרות!$D$19-WEEKDAY(N19)-1,7)+1,MOD(הגדרות!$D$20-WEEKDAY(N19)-1,7)+1)&gt;$N$2,"",N19+MIN(MOD(הגדרות!$D$19-WEEKDAY(N19)-1,7)+1,MOD(הגדרות!$D$20-WEEKDAY(N19)-1,7)+1)))</f>
        <v/>
      </c>
      <c r="O20" s="0" t="str">
        <f aca="false">IF(B20="","",IF(D20="בוטל בהתראה",0,IF(D20="בוטל ללא התראה",הגדרות!$C$30,1)))</f>
        <v/>
      </c>
    </row>
    <row r="21" customFormat="false" ht="21" hidden="false" customHeight="true" outlineLevel="0" collapsed="false">
      <c r="A21" s="35" t="str">
        <f aca="false">IF(B21="","",COUNT($B$15:B21))</f>
        <v/>
      </c>
      <c r="B21" s="36" t="str">
        <f aca="false">IF(N21="","",N21)</f>
        <v/>
      </c>
      <c r="C21" s="35" t="str">
        <f aca="false">IF(B21="","",INDEX(הגדרות!$F$5:$F$11,WEEKDAY(B21)))</f>
        <v/>
      </c>
      <c r="D21" s="37" t="s">
        <v>108</v>
      </c>
      <c r="E21" s="38" t="str">
        <f aca="false">IF(B21="","",הגדרות!$C$28)</f>
        <v/>
      </c>
      <c r="F21" s="38"/>
      <c r="G21" s="39" t="str">
        <f aca="false">IF(B21="","",IF(O21=0,0,MIN(הגדרות!$C$29,MAX(E21,F21))))</f>
        <v/>
      </c>
      <c r="H21" s="40" t="str">
        <f aca="false">IF(B21="","",O21*הגדרות!$C$26)</f>
        <v/>
      </c>
      <c r="I21" s="40" t="str">
        <f aca="false">IF(B21="","",O21*G21*הגדרות!$C$27)</f>
        <v/>
      </c>
      <c r="J21" s="41" t="str">
        <f aca="false">IF(B21="","",H21+I21)</f>
        <v/>
      </c>
      <c r="K21" s="42"/>
      <c r="L21" s="43"/>
      <c r="N21" s="56" t="str">
        <f aca="false">IF(N20="","",IF(N20+MIN(MOD(הגדרות!$D$19-WEEKDAY(N20)-1,7)+1,MOD(הגדרות!$D$20-WEEKDAY(N20)-1,7)+1)&gt;$N$2,"",N20+MIN(MOD(הגדרות!$D$19-WEEKDAY(N20)-1,7)+1,MOD(הגדרות!$D$20-WEEKDAY(N20)-1,7)+1)))</f>
        <v/>
      </c>
      <c r="O21" s="0" t="str">
        <f aca="false">IF(B21="","",IF(D21="בוטל בהתראה",0,IF(D21="בוטל ללא התראה",הגדרות!$C$30,1)))</f>
        <v/>
      </c>
    </row>
    <row r="22" customFormat="false" ht="21" hidden="false" customHeight="true" outlineLevel="0" collapsed="false">
      <c r="A22" s="35" t="str">
        <f aca="false">IF(B22="","",COUNT($B$15:B22))</f>
        <v/>
      </c>
      <c r="B22" s="36" t="str">
        <f aca="false">IF(N22="","",N22)</f>
        <v/>
      </c>
      <c r="C22" s="35" t="str">
        <f aca="false">IF(B22="","",INDEX(הגדרות!$F$5:$F$11,WEEKDAY(B22)))</f>
        <v/>
      </c>
      <c r="D22" s="37" t="s">
        <v>108</v>
      </c>
      <c r="E22" s="38" t="str">
        <f aca="false">IF(B22="","",הגדרות!$C$28)</f>
        <v/>
      </c>
      <c r="F22" s="38"/>
      <c r="G22" s="39" t="str">
        <f aca="false">IF(B22="","",IF(O22=0,0,MIN(הגדרות!$C$29,MAX(E22,F22))))</f>
        <v/>
      </c>
      <c r="H22" s="40" t="str">
        <f aca="false">IF(B22="","",O22*הגדרות!$C$26)</f>
        <v/>
      </c>
      <c r="I22" s="40" t="str">
        <f aca="false">IF(B22="","",O22*G22*הגדרות!$C$27)</f>
        <v/>
      </c>
      <c r="J22" s="41" t="str">
        <f aca="false">IF(B22="","",H22+I22)</f>
        <v/>
      </c>
      <c r="K22" s="42"/>
      <c r="L22" s="43"/>
      <c r="N22" s="56" t="str">
        <f aca="false">IF(N21="","",IF(N21+MIN(MOD(הגדרות!$D$19-WEEKDAY(N21)-1,7)+1,MOD(הגדרות!$D$20-WEEKDAY(N21)-1,7)+1)&gt;$N$2,"",N21+MIN(MOD(הגדרות!$D$19-WEEKDAY(N21)-1,7)+1,MOD(הגדרות!$D$20-WEEKDAY(N21)-1,7)+1)))</f>
        <v/>
      </c>
      <c r="O22" s="0" t="str">
        <f aca="false">IF(B22="","",IF(D22="בוטל בהתראה",0,IF(D22="בוטל ללא התראה",הגדרות!$C$30,1)))</f>
        <v/>
      </c>
    </row>
    <row r="23" customFormat="false" ht="21" hidden="false" customHeight="true" outlineLevel="0" collapsed="false">
      <c r="A23" s="35" t="str">
        <f aca="false">IF(B23="","",COUNT($B$15:B23))</f>
        <v/>
      </c>
      <c r="B23" s="36" t="str">
        <f aca="false">IF(N23="","",N23)</f>
        <v/>
      </c>
      <c r="C23" s="35" t="str">
        <f aca="false">IF(B23="","",INDEX(הגדרות!$F$5:$F$11,WEEKDAY(B23)))</f>
        <v/>
      </c>
      <c r="D23" s="37" t="s">
        <v>108</v>
      </c>
      <c r="E23" s="38" t="str">
        <f aca="false">IF(B23="","",הגדרות!$C$28)</f>
        <v/>
      </c>
      <c r="F23" s="38"/>
      <c r="G23" s="39" t="str">
        <f aca="false">IF(B23="","",IF(O23=0,0,MIN(הגדרות!$C$29,MAX(E23,F23))))</f>
        <v/>
      </c>
      <c r="H23" s="40" t="str">
        <f aca="false">IF(B23="","",O23*הגדרות!$C$26)</f>
        <v/>
      </c>
      <c r="I23" s="40" t="str">
        <f aca="false">IF(B23="","",O23*G23*הגדרות!$C$27)</f>
        <v/>
      </c>
      <c r="J23" s="41" t="str">
        <f aca="false">IF(B23="","",H23+I23)</f>
        <v/>
      </c>
      <c r="K23" s="42"/>
      <c r="L23" s="43"/>
      <c r="N23" s="56" t="str">
        <f aca="false">IF(N22="","",IF(N22+MIN(MOD(הגדרות!$D$19-WEEKDAY(N22)-1,7)+1,MOD(הגדרות!$D$20-WEEKDAY(N22)-1,7)+1)&gt;$N$2,"",N22+MIN(MOD(הגדרות!$D$19-WEEKDAY(N22)-1,7)+1,MOD(הגדרות!$D$20-WEEKDAY(N22)-1,7)+1)))</f>
        <v/>
      </c>
      <c r="O23" s="0" t="str">
        <f aca="false">IF(B23="","",IF(D23="בוטל בהתראה",0,IF(D23="בוטל ללא התראה",הגדרות!$C$30,1)))</f>
        <v/>
      </c>
    </row>
    <row r="24" customFormat="false" ht="21" hidden="false" customHeight="true" outlineLevel="0" collapsed="false">
      <c r="A24" s="35" t="str">
        <f aca="false">IF(B24="","",COUNT($B$15:B24))</f>
        <v/>
      </c>
      <c r="B24" s="36" t="str">
        <f aca="false">IF(N24="","",N24)</f>
        <v/>
      </c>
      <c r="C24" s="35" t="str">
        <f aca="false">IF(B24="","",INDEX(הגדרות!$F$5:$F$11,WEEKDAY(B24)))</f>
        <v/>
      </c>
      <c r="D24" s="37" t="s">
        <v>108</v>
      </c>
      <c r="E24" s="38" t="str">
        <f aca="false">IF(B24="","",הגדרות!$C$28)</f>
        <v/>
      </c>
      <c r="F24" s="38"/>
      <c r="G24" s="39" t="str">
        <f aca="false">IF(B24="","",IF(O24=0,0,MIN(הגדרות!$C$29,MAX(E24,F24))))</f>
        <v/>
      </c>
      <c r="H24" s="40" t="str">
        <f aca="false">IF(B24="","",O24*הגדרות!$C$26)</f>
        <v/>
      </c>
      <c r="I24" s="40" t="str">
        <f aca="false">IF(B24="","",O24*G24*הגדרות!$C$27)</f>
        <v/>
      </c>
      <c r="J24" s="41" t="str">
        <f aca="false">IF(B24="","",H24+I24)</f>
        <v/>
      </c>
      <c r="K24" s="42"/>
      <c r="L24" s="43"/>
      <c r="N24" s="56" t="str">
        <f aca="false">IF(N23="","",IF(N23+MIN(MOD(הגדרות!$D$19-WEEKDAY(N23)-1,7)+1,MOD(הגדרות!$D$20-WEEKDAY(N23)-1,7)+1)&gt;$N$2,"",N23+MIN(MOD(הגדרות!$D$19-WEEKDAY(N23)-1,7)+1,MOD(הגדרות!$D$20-WEEKDAY(N23)-1,7)+1)))</f>
        <v/>
      </c>
      <c r="O24" s="0" t="str">
        <f aca="false">IF(B24="","",IF(D24="בוטל בהתראה",0,IF(D24="בוטל ללא התראה",הגדרות!$C$30,1)))</f>
        <v/>
      </c>
    </row>
    <row r="25" customFormat="false" ht="21.75" hidden="false" customHeight="true" outlineLevel="0" collapsed="false">
      <c r="A25" s="45" t="s">
        <v>109</v>
      </c>
      <c r="B25" s="45"/>
      <c r="C25" s="45"/>
      <c r="D25" s="45"/>
      <c r="E25" s="45"/>
      <c r="F25" s="45"/>
      <c r="G25" s="46" t="n">
        <f aca="false">SUM(G15:G24)</f>
        <v>24</v>
      </c>
      <c r="H25" s="47" t="n">
        <f aca="false">SUM(H15:H24)</f>
        <v>5200</v>
      </c>
      <c r="I25" s="47" t="n">
        <f aca="false">SUM(I15:I24)</f>
        <v>2400</v>
      </c>
      <c r="J25" s="47" t="n">
        <f aca="false">SUM(J15:J24)</f>
        <v>7600</v>
      </c>
      <c r="K25" s="45"/>
      <c r="L25" s="47" t="n">
        <f aca="false">SUM(L15:L24)</f>
        <v>0</v>
      </c>
    </row>
    <row r="26" customFormat="false" ht="25.5" hidden="false" customHeight="true" outlineLevel="0" collapsed="false">
      <c r="A26" s="48" t="s">
        <v>110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8" customFormat="false" ht="19.5" hidden="false" customHeight="true" outlineLevel="0" collapsed="false">
      <c r="A28" s="49" t="s">
        <v>111</v>
      </c>
      <c r="B28" s="49"/>
      <c r="C28" s="49"/>
      <c r="D28" s="49"/>
      <c r="E28" s="49"/>
      <c r="F28" s="49"/>
      <c r="G28" s="49"/>
      <c r="H28" s="50" t="str">
        <f aca="false">"תשלום בסיסי ("&amp;COUNTIF(O15:O24,"&gt;0")&amp;" מפגשים)"</f>
        <v>תשלום בסיסי (4 מפגשים)</v>
      </c>
      <c r="I28" s="50"/>
      <c r="J28" s="50"/>
      <c r="K28" s="50"/>
      <c r="L28" s="40" t="n">
        <f aca="false">H25</f>
        <v>5200</v>
      </c>
    </row>
    <row r="29" customFormat="false" ht="39.75" hidden="false" customHeight="true" outlineLevel="0" collapsed="false">
      <c r="A29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29" s="51"/>
      <c r="C29" s="51"/>
      <c r="D29" s="51"/>
      <c r="E29" s="51"/>
      <c r="F29" s="51"/>
      <c r="G29" s="51"/>
      <c r="H29" s="50" t="str">
        <f aca="false">"תקציב עץ ("&amp;G25&amp;" משתתפים)"</f>
        <v>תקציב עץ (24 משתתפים)</v>
      </c>
      <c r="I29" s="50"/>
      <c r="J29" s="50"/>
      <c r="K29" s="50"/>
      <c r="L29" s="40" t="n">
        <f aca="false">I25</f>
        <v>2400</v>
      </c>
    </row>
    <row r="30" customFormat="false" ht="27.75" hidden="false" customHeight="true" outlineLevel="0" collapsed="false">
      <c r="A30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0" s="51"/>
      <c r="C30" s="51"/>
      <c r="D30" s="51"/>
      <c r="E30" s="51"/>
      <c r="F30" s="51"/>
      <c r="G30" s="51"/>
      <c r="H30" s="50" t="s">
        <v>112</v>
      </c>
      <c r="I30" s="50"/>
      <c r="J30" s="50"/>
      <c r="K30" s="50"/>
      <c r="L30" s="40" t="n">
        <f aca="false">L25</f>
        <v>0</v>
      </c>
    </row>
    <row r="31" customFormat="false" ht="19.5" hidden="false" customHeight="true" outlineLevel="0" collapsed="false">
      <c r="A31" s="51" t="str">
        <f aca="false">"• תקציב עץ: "&amp;TEXT(הגדרות!$C$27,"#,##0")&amp;" ₪ למשתתף."</f>
        <v>• תקציב עץ: 100 ₪ למשתתף.</v>
      </c>
      <c r="B31" s="51"/>
      <c r="C31" s="51"/>
      <c r="D31" s="51"/>
      <c r="E31" s="51"/>
      <c r="F31" s="51"/>
      <c r="G31" s="51"/>
      <c r="H31" s="52" t="s">
        <v>113</v>
      </c>
      <c r="I31" s="52"/>
      <c r="J31" s="52"/>
      <c r="K31" s="52"/>
      <c r="L31" s="41" t="n">
        <f aca="false">L28+L29+L30</f>
        <v>7600</v>
      </c>
    </row>
    <row r="32" customFormat="false" ht="19.5" hidden="false" customHeight="true" outlineLevel="0" collapsed="false">
      <c r="A32" s="51" t="str">
        <f aca="false">IF(הגדרות!$C$34="","","• "&amp;הגדרות!$C$34)</f>
        <v>• המחירים אינם כוללים מע״מ. מע״מ יתווסף כחוק.</v>
      </c>
      <c r="B32" s="51"/>
      <c r="C32" s="51"/>
      <c r="D32" s="51"/>
      <c r="E32" s="51"/>
      <c r="F32" s="51"/>
      <c r="G32" s="51"/>
      <c r="H32" s="50" t="str">
        <f aca="false">"מע״מ "&amp;ROUND(הגדרות!$C$31*100,1)&amp;"%"</f>
        <v>מע״מ 18%</v>
      </c>
      <c r="I32" s="50"/>
      <c r="J32" s="50"/>
      <c r="K32" s="50"/>
      <c r="L32" s="40" t="n">
        <f aca="false">ROUND(L31*הגדרות!$C$31,2)</f>
        <v>1368</v>
      </c>
    </row>
    <row r="33" customFormat="false" ht="27.75" hidden="false" customHeight="true" outlineLevel="0" collapsed="false">
      <c r="A33" s="51" t="str">
        <f aca="false">IF(הגדרות!$C$35="","","• "&amp;הגדרות!$C$35)</f>
        <v>• פרויקטים גדולים ומיוחדים מתומחרים בנפרד לפי עלות החומרים, באישור החווה.</v>
      </c>
      <c r="B33" s="51"/>
      <c r="C33" s="51"/>
      <c r="D33" s="51"/>
      <c r="E33" s="51"/>
      <c r="F33" s="51"/>
      <c r="G33" s="51"/>
      <c r="H33" s="53" t="s">
        <v>114</v>
      </c>
      <c r="I33" s="53"/>
      <c r="J33" s="53"/>
      <c r="K33" s="53"/>
      <c r="L33" s="54" t="n">
        <f aca="false">L31+L32</f>
        <v>8968</v>
      </c>
    </row>
    <row r="34" customFormat="false" ht="15" hidden="false" customHeight="false" outlineLevel="0" collapsed="false">
      <c r="A34" s="51" t="str">
        <f aca="false">IF(הגדרות!$C$36="","","• "&amp;הגדרות!$C$36)</f>
        <v/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9" t="s">
        <v>115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5.75" hidden="false" customHeight="true" outlineLevel="0" collapsed="false">
      <c r="A36" s="51" t="str">
        <f aca="false">"• "&amp;הגדרות!$C$39</f>
        <v>• ביטול מלא של הסדנא: ביטול של עד 48 שעות לפני מועד הסדנא – ללא חיוב.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customFormat="false" ht="15.75" hidden="false" customHeight="true" outlineLevel="0" collapsed="false">
      <c r="A37" s="51" t="str">
        <f aca="false">"• "&amp;הגדרות!$C$40</f>
        <v>• מספר המשתתפים: הסדנא מתוכננת ומוכנה מראש בהתאם למספר המשתתפים שסוכם, עד 6 משתתפים.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15.75" hidden="false" customHeight="true" outlineLevel="0" collapsed="false">
      <c r="A38" s="51" t="str">
        <f aca="false">"• "&amp;הגדרות!$C$41</f>
        <v>• הפחתת מספר המשתתפים: יש לעדכן על שינוי במספר המשתתפים עד 24 שעות לפני הסדנא.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5.5" hidden="false" customHeight="true" outlineLevel="0" collapsed="false">
      <c r="A39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2" customFormat="false" ht="15" hidden="false" customHeight="false" outlineLevel="0" collapsed="false">
      <c r="A42" s="55" t="str">
        <f aca="false">"בברכה, "&amp;הגדרות!$C$6</f>
        <v>בברכה, (למילוי)</v>
      </c>
      <c r="B42" s="55"/>
      <c r="C42" s="55"/>
      <c r="D42" s="55"/>
      <c r="E42" s="55"/>
      <c r="H42" s="55" t="s">
        <v>116</v>
      </c>
      <c r="I42" s="55"/>
      <c r="J42" s="55"/>
      <c r="K42" s="55"/>
      <c r="L42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25:F25"/>
    <mergeCell ref="A26:L26"/>
    <mergeCell ref="A28:G28"/>
    <mergeCell ref="H28:K28"/>
    <mergeCell ref="A29:G29"/>
    <mergeCell ref="H29:K29"/>
    <mergeCell ref="A30:G30"/>
    <mergeCell ref="H30:K30"/>
    <mergeCell ref="A31:G31"/>
    <mergeCell ref="H31:K31"/>
    <mergeCell ref="A32:G32"/>
    <mergeCell ref="H32:K32"/>
    <mergeCell ref="A33:G33"/>
    <mergeCell ref="H33:K33"/>
    <mergeCell ref="A34:G34"/>
    <mergeCell ref="A35:L35"/>
    <mergeCell ref="A36:L36"/>
    <mergeCell ref="A37:L37"/>
    <mergeCell ref="A38:L38"/>
    <mergeCell ref="A39:L39"/>
    <mergeCell ref="A42:E42"/>
    <mergeCell ref="H42:L42"/>
  </mergeCells>
  <conditionalFormatting sqref="D15:D24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24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24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24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24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56" t="n">
        <f aca="false">DATE(YEAR($I$11),MONTH($I$11),1)</f>
        <v>46357</v>
      </c>
    </row>
    <row r="2" customFormat="false" ht="24" hidden="false" customHeight="true" outlineLevel="0" collapsed="false">
      <c r="A2" s="25" t="str">
        <f aca="false">הגדרות!$C$17&amp;" · "&amp;"מפגש שבועי בימי "&amp;הגדרות!$C$19&amp;IF(הגדרות!$C$20="",""," ו"&amp;הגדרות!$C$20)&amp;IF(הגדרות!$C$18="",""," ("&amp;הגדרות!$C$18&amp;")")&amp;" · "&amp;CHOOSE(MONTH($N$1),"ינואר","פברואר","מרץ","אפריל","מאי","יוני","יולי","אוגוסט","ספטמבר","אוקטובר","נובמבר","דצמבר")&amp;" "&amp;YEAR($N$1)</f>
        <v>תכנית חוסן · מפגש שבועי בימי רביעי (הוותיקה) · דצמבר 2026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N2" s="56" t="n">
        <f aca="false">EOMONTH($N$1,0)</f>
        <v>46387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tr">
        <f aca="false">"חוסן-"&amp;YEAR($N$1)&amp;"-"&amp;TEXT(MONTH($N$1),"00")</f>
        <v>חוסן-2026-12</v>
      </c>
      <c r="D11" s="28"/>
      <c r="E11" s="28"/>
      <c r="G11" s="27" t="s">
        <v>117</v>
      </c>
      <c r="H11" s="27"/>
      <c r="I11" s="57" t="n">
        <v>46357</v>
      </c>
      <c r="J11" s="57"/>
      <c r="K11" s="57"/>
      <c r="L11" s="57"/>
    </row>
    <row r="12" customFormat="false" ht="15" hidden="false" customHeight="false" outlineLevel="0" collapsed="false">
      <c r="A12" s="27" t="s">
        <v>96</v>
      </c>
      <c r="B12" s="27"/>
      <c r="C12" s="58" t="n">
        <f aca="false">$N$2</f>
        <v>46387</v>
      </c>
      <c r="D12" s="58"/>
      <c r="E12" s="58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f aca="false">IF(N15="","",N15)</f>
        <v>46358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N15" s="56" t="n">
        <f aca="false">$N$1+MIN(MOD(הגדרות!$D$19-WEEKDAY($N$1),7),MOD(הגדרות!$D$20-WEEKDAY($N$1),7))</f>
        <v>46358</v>
      </c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f aca="false">IF(N16="","",N16)</f>
        <v>46365</v>
      </c>
      <c r="C16" s="35" t="str">
        <f aca="false">IF(B16="","",INDEX(הגדרות!$F$5:$F$11,WEEKDAY(B16)))</f>
        <v>רביעי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N16" s="56" t="n">
        <f aca="false">IF(N15="","",IF(N15+MIN(MOD(הגדרות!$D$19-WEEKDAY(N15)-1,7)+1,MOD(הגדרות!$D$20-WEEKDAY(N15)-1,7)+1)&gt;$N$2,"",N15+MIN(MOD(הגדרות!$D$19-WEEKDAY(N15)-1,7)+1,MOD(הגדרות!$D$20-WEEKDAY(N15)-1,7)+1)))</f>
        <v>46365</v>
      </c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f aca="false">IF(N17="","",N17)</f>
        <v>46372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N17" s="56" t="n">
        <f aca="false">IF(N16="","",IF(N16+MIN(MOD(הגדרות!$D$19-WEEKDAY(N16)-1,7)+1,MOD(הגדרות!$D$20-WEEKDAY(N16)-1,7)+1)&gt;$N$2,"",N16+MIN(MOD(הגדרות!$D$19-WEEKDAY(N16)-1,7)+1,MOD(הגדרות!$D$20-WEEKDAY(N16)-1,7)+1)))</f>
        <v>46372</v>
      </c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f aca="false">IF(N18="","",N18)</f>
        <v>46379</v>
      </c>
      <c r="C18" s="35" t="str">
        <f aca="false">IF(B18="","",INDEX(הגדרות!$F$5:$F$11,WEEKDAY(B18)))</f>
        <v>רביעי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N18" s="56" t="n">
        <f aca="false">IF(N17="","",IF(N17+MIN(MOD(הגדרות!$D$19-WEEKDAY(N17)-1,7)+1,MOD(הגדרות!$D$20-WEEKDAY(N17)-1,7)+1)&gt;$N$2,"",N17+MIN(MOD(הגדרות!$D$19-WEEKDAY(N17)-1,7)+1,MOD(הגדרות!$D$20-WEEKDAY(N17)-1,7)+1)))</f>
        <v>46379</v>
      </c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n">
        <f aca="false">IF(B19="","",COUNT($B$15:B19))</f>
        <v>5</v>
      </c>
      <c r="B19" s="36" t="n">
        <f aca="false">IF(N19="","",N19)</f>
        <v>46386</v>
      </c>
      <c r="C19" s="35" t="str">
        <f aca="false">IF(B19="","",INDEX(הגדרות!$F$5:$F$11,WEEKDAY(B19)))</f>
        <v>רביעי</v>
      </c>
      <c r="D19" s="37" t="s">
        <v>108</v>
      </c>
      <c r="E19" s="38" t="n">
        <f aca="false">IF(B19="","",הגדרות!$C$28)</f>
        <v>6</v>
      </c>
      <c r="F19" s="38"/>
      <c r="G19" s="39" t="n">
        <f aca="false">IF(B19="","",IF(O19=0,0,MIN(הגדרות!$C$29,MAX(E19,F19))))</f>
        <v>6</v>
      </c>
      <c r="H19" s="40" t="n">
        <f aca="false">IF(B19="","",O19*הגדרות!$C$26)</f>
        <v>1300</v>
      </c>
      <c r="I19" s="40" t="n">
        <f aca="false">IF(B19="","",O19*G19*הגדרות!$C$27)</f>
        <v>600</v>
      </c>
      <c r="J19" s="41" t="n">
        <f aca="false">IF(B19="","",H19+I19)</f>
        <v>1900</v>
      </c>
      <c r="K19" s="42"/>
      <c r="L19" s="43"/>
      <c r="N19" s="56" t="n">
        <f aca="false">IF(N18="","",IF(N18+MIN(MOD(הגדרות!$D$19-WEEKDAY(N18)-1,7)+1,MOD(הגדרות!$D$20-WEEKDAY(N18)-1,7)+1)&gt;$N$2,"",N18+MIN(MOD(הגדרות!$D$19-WEEKDAY(N18)-1,7)+1,MOD(הגדרות!$D$20-WEEKDAY(N18)-1,7)+1)))</f>
        <v>46386</v>
      </c>
      <c r="O19" s="44" t="n">
        <f aca="false">IF(B19="","",IF(D19="בוטל בהתראה",0,IF(D19="בוטל ללא התראה",הגדרות!$C$30,1)))</f>
        <v>1</v>
      </c>
    </row>
    <row r="20" customFormat="false" ht="21" hidden="false" customHeight="true" outlineLevel="0" collapsed="false">
      <c r="A20" s="35" t="str">
        <f aca="false">IF(B20="","",COUNT($B$15:B20))</f>
        <v/>
      </c>
      <c r="B20" s="36" t="str">
        <f aca="false">IF(N20="","",N20)</f>
        <v/>
      </c>
      <c r="C20" s="35" t="str">
        <f aca="false">IF(B20="","",INDEX(הגדרות!$F$5:$F$11,WEEKDAY(B20)))</f>
        <v/>
      </c>
      <c r="D20" s="37" t="s">
        <v>108</v>
      </c>
      <c r="E20" s="38" t="str">
        <f aca="false">IF(B20="","",הגדרות!$C$28)</f>
        <v/>
      </c>
      <c r="F20" s="38"/>
      <c r="G20" s="39" t="str">
        <f aca="false">IF(B20="","",IF(O20=0,0,MIN(הגדרות!$C$29,MAX(E20,F20))))</f>
        <v/>
      </c>
      <c r="H20" s="40" t="str">
        <f aca="false">IF(B20="","",O20*הגדרות!$C$26)</f>
        <v/>
      </c>
      <c r="I20" s="40" t="str">
        <f aca="false">IF(B20="","",O20*G20*הגדרות!$C$27)</f>
        <v/>
      </c>
      <c r="J20" s="41" t="str">
        <f aca="false">IF(B20="","",H20+I20)</f>
        <v/>
      </c>
      <c r="K20" s="42"/>
      <c r="L20" s="43"/>
      <c r="N20" s="56" t="str">
        <f aca="false">IF(N19="","",IF(N19+MIN(MOD(הגדרות!$D$19-WEEKDAY(N19)-1,7)+1,MOD(הגדרות!$D$20-WEEKDAY(N19)-1,7)+1)&gt;$N$2,"",N19+MIN(MOD(הגדרות!$D$19-WEEKDAY(N19)-1,7)+1,MOD(הגדרות!$D$20-WEEKDAY(N19)-1,7)+1)))</f>
        <v/>
      </c>
      <c r="O20" s="0" t="str">
        <f aca="false">IF(B20="","",IF(D20="בוטל בהתראה",0,IF(D20="בוטל ללא התראה",הגדרות!$C$30,1)))</f>
        <v/>
      </c>
    </row>
    <row r="21" customFormat="false" ht="21" hidden="false" customHeight="true" outlineLevel="0" collapsed="false">
      <c r="A21" s="35" t="str">
        <f aca="false">IF(B21="","",COUNT($B$15:B21))</f>
        <v/>
      </c>
      <c r="B21" s="36" t="str">
        <f aca="false">IF(N21="","",N21)</f>
        <v/>
      </c>
      <c r="C21" s="35" t="str">
        <f aca="false">IF(B21="","",INDEX(הגדרות!$F$5:$F$11,WEEKDAY(B21)))</f>
        <v/>
      </c>
      <c r="D21" s="37" t="s">
        <v>108</v>
      </c>
      <c r="E21" s="38" t="str">
        <f aca="false">IF(B21="","",הגדרות!$C$28)</f>
        <v/>
      </c>
      <c r="F21" s="38"/>
      <c r="G21" s="39" t="str">
        <f aca="false">IF(B21="","",IF(O21=0,0,MIN(הגדרות!$C$29,MAX(E21,F21))))</f>
        <v/>
      </c>
      <c r="H21" s="40" t="str">
        <f aca="false">IF(B21="","",O21*הגדרות!$C$26)</f>
        <v/>
      </c>
      <c r="I21" s="40" t="str">
        <f aca="false">IF(B21="","",O21*G21*הגדרות!$C$27)</f>
        <v/>
      </c>
      <c r="J21" s="41" t="str">
        <f aca="false">IF(B21="","",H21+I21)</f>
        <v/>
      </c>
      <c r="K21" s="42"/>
      <c r="L21" s="43"/>
      <c r="N21" s="56" t="str">
        <f aca="false">IF(N20="","",IF(N20+MIN(MOD(הגדרות!$D$19-WEEKDAY(N20)-1,7)+1,MOD(הגדרות!$D$20-WEEKDAY(N20)-1,7)+1)&gt;$N$2,"",N20+MIN(MOD(הגדרות!$D$19-WEEKDAY(N20)-1,7)+1,MOD(הגדרות!$D$20-WEEKDAY(N20)-1,7)+1)))</f>
        <v/>
      </c>
      <c r="O21" s="0" t="str">
        <f aca="false">IF(B21="","",IF(D21="בוטל בהתראה",0,IF(D21="בוטל ללא התראה",הגדרות!$C$30,1)))</f>
        <v/>
      </c>
    </row>
    <row r="22" customFormat="false" ht="21" hidden="false" customHeight="true" outlineLevel="0" collapsed="false">
      <c r="A22" s="35" t="str">
        <f aca="false">IF(B22="","",COUNT($B$15:B22))</f>
        <v/>
      </c>
      <c r="B22" s="36" t="str">
        <f aca="false">IF(N22="","",N22)</f>
        <v/>
      </c>
      <c r="C22" s="35" t="str">
        <f aca="false">IF(B22="","",INDEX(הגדרות!$F$5:$F$11,WEEKDAY(B22)))</f>
        <v/>
      </c>
      <c r="D22" s="37" t="s">
        <v>108</v>
      </c>
      <c r="E22" s="38" t="str">
        <f aca="false">IF(B22="","",הגדרות!$C$28)</f>
        <v/>
      </c>
      <c r="F22" s="38"/>
      <c r="G22" s="39" t="str">
        <f aca="false">IF(B22="","",IF(O22=0,0,MIN(הגדרות!$C$29,MAX(E22,F22))))</f>
        <v/>
      </c>
      <c r="H22" s="40" t="str">
        <f aca="false">IF(B22="","",O22*הגדרות!$C$26)</f>
        <v/>
      </c>
      <c r="I22" s="40" t="str">
        <f aca="false">IF(B22="","",O22*G22*הגדרות!$C$27)</f>
        <v/>
      </c>
      <c r="J22" s="41" t="str">
        <f aca="false">IF(B22="","",H22+I22)</f>
        <v/>
      </c>
      <c r="K22" s="42"/>
      <c r="L22" s="43"/>
      <c r="N22" s="56" t="str">
        <f aca="false">IF(N21="","",IF(N21+MIN(MOD(הגדרות!$D$19-WEEKDAY(N21)-1,7)+1,MOD(הגדרות!$D$20-WEEKDAY(N21)-1,7)+1)&gt;$N$2,"",N21+MIN(MOD(הגדרות!$D$19-WEEKDAY(N21)-1,7)+1,MOD(הגדרות!$D$20-WEEKDAY(N21)-1,7)+1)))</f>
        <v/>
      </c>
      <c r="O22" s="0" t="str">
        <f aca="false">IF(B22="","",IF(D22="בוטל בהתראה",0,IF(D22="בוטל ללא התראה",הגדרות!$C$30,1)))</f>
        <v/>
      </c>
    </row>
    <row r="23" customFormat="false" ht="21" hidden="false" customHeight="true" outlineLevel="0" collapsed="false">
      <c r="A23" s="35" t="str">
        <f aca="false">IF(B23="","",COUNT($B$15:B23))</f>
        <v/>
      </c>
      <c r="B23" s="36" t="str">
        <f aca="false">IF(N23="","",N23)</f>
        <v/>
      </c>
      <c r="C23" s="35" t="str">
        <f aca="false">IF(B23="","",INDEX(הגדרות!$F$5:$F$11,WEEKDAY(B23)))</f>
        <v/>
      </c>
      <c r="D23" s="37" t="s">
        <v>108</v>
      </c>
      <c r="E23" s="38" t="str">
        <f aca="false">IF(B23="","",הגדרות!$C$28)</f>
        <v/>
      </c>
      <c r="F23" s="38"/>
      <c r="G23" s="39" t="str">
        <f aca="false">IF(B23="","",IF(O23=0,0,MIN(הגדרות!$C$29,MAX(E23,F23))))</f>
        <v/>
      </c>
      <c r="H23" s="40" t="str">
        <f aca="false">IF(B23="","",O23*הגדרות!$C$26)</f>
        <v/>
      </c>
      <c r="I23" s="40" t="str">
        <f aca="false">IF(B23="","",O23*G23*הגדרות!$C$27)</f>
        <v/>
      </c>
      <c r="J23" s="41" t="str">
        <f aca="false">IF(B23="","",H23+I23)</f>
        <v/>
      </c>
      <c r="K23" s="42"/>
      <c r="L23" s="43"/>
      <c r="N23" s="56" t="str">
        <f aca="false">IF(N22="","",IF(N22+MIN(MOD(הגדרות!$D$19-WEEKDAY(N22)-1,7)+1,MOD(הגדרות!$D$20-WEEKDAY(N22)-1,7)+1)&gt;$N$2,"",N22+MIN(MOD(הגדרות!$D$19-WEEKDAY(N22)-1,7)+1,MOD(הגדרות!$D$20-WEEKDAY(N22)-1,7)+1)))</f>
        <v/>
      </c>
      <c r="O23" s="0" t="str">
        <f aca="false">IF(B23="","",IF(D23="בוטל בהתראה",0,IF(D23="בוטל ללא התראה",הגדרות!$C$30,1)))</f>
        <v/>
      </c>
    </row>
    <row r="24" customFormat="false" ht="21" hidden="false" customHeight="true" outlineLevel="0" collapsed="false">
      <c r="A24" s="35" t="str">
        <f aca="false">IF(B24="","",COUNT($B$15:B24))</f>
        <v/>
      </c>
      <c r="B24" s="36" t="str">
        <f aca="false">IF(N24="","",N24)</f>
        <v/>
      </c>
      <c r="C24" s="35" t="str">
        <f aca="false">IF(B24="","",INDEX(הגדרות!$F$5:$F$11,WEEKDAY(B24)))</f>
        <v/>
      </c>
      <c r="D24" s="37" t="s">
        <v>108</v>
      </c>
      <c r="E24" s="38" t="str">
        <f aca="false">IF(B24="","",הגדרות!$C$28)</f>
        <v/>
      </c>
      <c r="F24" s="38"/>
      <c r="G24" s="39" t="str">
        <f aca="false">IF(B24="","",IF(O24=0,0,MIN(הגדרות!$C$29,MAX(E24,F24))))</f>
        <v/>
      </c>
      <c r="H24" s="40" t="str">
        <f aca="false">IF(B24="","",O24*הגדרות!$C$26)</f>
        <v/>
      </c>
      <c r="I24" s="40" t="str">
        <f aca="false">IF(B24="","",O24*G24*הגדרות!$C$27)</f>
        <v/>
      </c>
      <c r="J24" s="41" t="str">
        <f aca="false">IF(B24="","",H24+I24)</f>
        <v/>
      </c>
      <c r="K24" s="42"/>
      <c r="L24" s="43"/>
      <c r="N24" s="56" t="str">
        <f aca="false">IF(N23="","",IF(N23+MIN(MOD(הגדרות!$D$19-WEEKDAY(N23)-1,7)+1,MOD(הגדרות!$D$20-WEEKDAY(N23)-1,7)+1)&gt;$N$2,"",N23+MIN(MOD(הגדרות!$D$19-WEEKDAY(N23)-1,7)+1,MOD(הגדרות!$D$20-WEEKDAY(N23)-1,7)+1)))</f>
        <v/>
      </c>
      <c r="O24" s="0" t="str">
        <f aca="false">IF(B24="","",IF(D24="בוטל בהתראה",0,IF(D24="בוטל ללא התראה",הגדרות!$C$30,1)))</f>
        <v/>
      </c>
    </row>
    <row r="25" customFormat="false" ht="21.75" hidden="false" customHeight="true" outlineLevel="0" collapsed="false">
      <c r="A25" s="45" t="s">
        <v>109</v>
      </c>
      <c r="B25" s="45"/>
      <c r="C25" s="45"/>
      <c r="D25" s="45"/>
      <c r="E25" s="45"/>
      <c r="F25" s="45"/>
      <c r="G25" s="46" t="n">
        <f aca="false">SUM(G15:G24)</f>
        <v>30</v>
      </c>
      <c r="H25" s="47" t="n">
        <f aca="false">SUM(H15:H24)</f>
        <v>6500</v>
      </c>
      <c r="I25" s="47" t="n">
        <f aca="false">SUM(I15:I24)</f>
        <v>3000</v>
      </c>
      <c r="J25" s="47" t="n">
        <f aca="false">SUM(J15:J24)</f>
        <v>9500</v>
      </c>
      <c r="K25" s="45"/>
      <c r="L25" s="47" t="n">
        <f aca="false">SUM(L15:L24)</f>
        <v>0</v>
      </c>
    </row>
    <row r="26" customFormat="false" ht="25.5" hidden="false" customHeight="true" outlineLevel="0" collapsed="false">
      <c r="A26" s="48" t="s">
        <v>110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8" customFormat="false" ht="19.5" hidden="false" customHeight="true" outlineLevel="0" collapsed="false">
      <c r="A28" s="49" t="s">
        <v>111</v>
      </c>
      <c r="B28" s="49"/>
      <c r="C28" s="49"/>
      <c r="D28" s="49"/>
      <c r="E28" s="49"/>
      <c r="F28" s="49"/>
      <c r="G28" s="49"/>
      <c r="H28" s="50" t="str">
        <f aca="false">"תשלום בסיסי ("&amp;COUNTIF(O15:O24,"&gt;0")&amp;" מפגשים)"</f>
        <v>תשלום בסיסי (5 מפגשים)</v>
      </c>
      <c r="I28" s="50"/>
      <c r="J28" s="50"/>
      <c r="K28" s="50"/>
      <c r="L28" s="40" t="n">
        <f aca="false">H25</f>
        <v>6500</v>
      </c>
    </row>
    <row r="29" customFormat="false" ht="39.75" hidden="false" customHeight="true" outlineLevel="0" collapsed="false">
      <c r="A29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29" s="51"/>
      <c r="C29" s="51"/>
      <c r="D29" s="51"/>
      <c r="E29" s="51"/>
      <c r="F29" s="51"/>
      <c r="G29" s="51"/>
      <c r="H29" s="50" t="str">
        <f aca="false">"תקציב עץ ("&amp;G25&amp;" משתתפים)"</f>
        <v>תקציב עץ (30 משתתפים)</v>
      </c>
      <c r="I29" s="50"/>
      <c r="J29" s="50"/>
      <c r="K29" s="50"/>
      <c r="L29" s="40" t="n">
        <f aca="false">I25</f>
        <v>3000</v>
      </c>
    </row>
    <row r="30" customFormat="false" ht="27.75" hidden="false" customHeight="true" outlineLevel="0" collapsed="false">
      <c r="A30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0" s="51"/>
      <c r="C30" s="51"/>
      <c r="D30" s="51"/>
      <c r="E30" s="51"/>
      <c r="F30" s="51"/>
      <c r="G30" s="51"/>
      <c r="H30" s="50" t="s">
        <v>112</v>
      </c>
      <c r="I30" s="50"/>
      <c r="J30" s="50"/>
      <c r="K30" s="50"/>
      <c r="L30" s="40" t="n">
        <f aca="false">L25</f>
        <v>0</v>
      </c>
    </row>
    <row r="31" customFormat="false" ht="19.5" hidden="false" customHeight="true" outlineLevel="0" collapsed="false">
      <c r="A31" s="51" t="str">
        <f aca="false">"• תקציב עץ: "&amp;TEXT(הגדרות!$C$27,"#,##0")&amp;" ₪ למשתתף."</f>
        <v>• תקציב עץ: 100 ₪ למשתתף.</v>
      </c>
      <c r="B31" s="51"/>
      <c r="C31" s="51"/>
      <c r="D31" s="51"/>
      <c r="E31" s="51"/>
      <c r="F31" s="51"/>
      <c r="G31" s="51"/>
      <c r="H31" s="52" t="s">
        <v>113</v>
      </c>
      <c r="I31" s="52"/>
      <c r="J31" s="52"/>
      <c r="K31" s="52"/>
      <c r="L31" s="41" t="n">
        <f aca="false">L28+L29+L30</f>
        <v>9500</v>
      </c>
    </row>
    <row r="32" customFormat="false" ht="19.5" hidden="false" customHeight="true" outlineLevel="0" collapsed="false">
      <c r="A32" s="51" t="str">
        <f aca="false">IF(הגדרות!$C$34="","","• "&amp;הגדרות!$C$34)</f>
        <v>• המחירים אינם כוללים מע״מ. מע״מ יתווסף כחוק.</v>
      </c>
      <c r="B32" s="51"/>
      <c r="C32" s="51"/>
      <c r="D32" s="51"/>
      <c r="E32" s="51"/>
      <c r="F32" s="51"/>
      <c r="G32" s="51"/>
      <c r="H32" s="50" t="str">
        <f aca="false">"מע״מ "&amp;ROUND(הגדרות!$C$31*100,1)&amp;"%"</f>
        <v>מע״מ 18%</v>
      </c>
      <c r="I32" s="50"/>
      <c r="J32" s="50"/>
      <c r="K32" s="50"/>
      <c r="L32" s="40" t="n">
        <f aca="false">ROUND(L31*הגדרות!$C$31,2)</f>
        <v>1710</v>
      </c>
    </row>
    <row r="33" customFormat="false" ht="27.75" hidden="false" customHeight="true" outlineLevel="0" collapsed="false">
      <c r="A33" s="51" t="str">
        <f aca="false">IF(הגדרות!$C$35="","","• "&amp;הגדרות!$C$35)</f>
        <v>• פרויקטים גדולים ומיוחדים מתומחרים בנפרד לפי עלות החומרים, באישור החווה.</v>
      </c>
      <c r="B33" s="51"/>
      <c r="C33" s="51"/>
      <c r="D33" s="51"/>
      <c r="E33" s="51"/>
      <c r="F33" s="51"/>
      <c r="G33" s="51"/>
      <c r="H33" s="53" t="s">
        <v>114</v>
      </c>
      <c r="I33" s="53"/>
      <c r="J33" s="53"/>
      <c r="K33" s="53"/>
      <c r="L33" s="54" t="n">
        <f aca="false">L31+L32</f>
        <v>11210</v>
      </c>
    </row>
    <row r="34" customFormat="false" ht="15" hidden="false" customHeight="false" outlineLevel="0" collapsed="false">
      <c r="A34" s="51" t="str">
        <f aca="false">IF(הגדרות!$C$36="","","• "&amp;הגדרות!$C$36)</f>
        <v/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9" t="s">
        <v>115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5.75" hidden="false" customHeight="true" outlineLevel="0" collapsed="false">
      <c r="A36" s="51" t="str">
        <f aca="false">"• "&amp;הגדרות!$C$39</f>
        <v>• ביטול מלא של הסדנא: ביטול של עד 48 שעות לפני מועד הסדנא – ללא חיוב.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customFormat="false" ht="15.75" hidden="false" customHeight="true" outlineLevel="0" collapsed="false">
      <c r="A37" s="51" t="str">
        <f aca="false">"• "&amp;הגדרות!$C$40</f>
        <v>• מספר המשתתפים: הסדנא מתוכננת ומוכנה מראש בהתאם למספר המשתתפים שסוכם, עד 6 משתתפים.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15.75" hidden="false" customHeight="true" outlineLevel="0" collapsed="false">
      <c r="A38" s="51" t="str">
        <f aca="false">"• "&amp;הגדרות!$C$41</f>
        <v>• הפחתת מספר המשתתפים: יש לעדכן על שינוי במספר המשתתפים עד 24 שעות לפני הסדנא.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5.5" hidden="false" customHeight="true" outlineLevel="0" collapsed="false">
      <c r="A39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2" customFormat="false" ht="15" hidden="false" customHeight="false" outlineLevel="0" collapsed="false">
      <c r="A42" s="55" t="str">
        <f aca="false">"בברכה, "&amp;הגדרות!$C$6</f>
        <v>בברכה, (למילוי)</v>
      </c>
      <c r="B42" s="55"/>
      <c r="C42" s="55"/>
      <c r="D42" s="55"/>
      <c r="E42" s="55"/>
      <c r="H42" s="55" t="s">
        <v>116</v>
      </c>
      <c r="I42" s="55"/>
      <c r="J42" s="55"/>
      <c r="K42" s="55"/>
      <c r="L42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25:F25"/>
    <mergeCell ref="A26:L26"/>
    <mergeCell ref="A28:G28"/>
    <mergeCell ref="H28:K28"/>
    <mergeCell ref="A29:G29"/>
    <mergeCell ref="H29:K29"/>
    <mergeCell ref="A30:G30"/>
    <mergeCell ref="H30:K30"/>
    <mergeCell ref="A31:G31"/>
    <mergeCell ref="H31:K31"/>
    <mergeCell ref="A32:G32"/>
    <mergeCell ref="H32:K32"/>
    <mergeCell ref="A33:G33"/>
    <mergeCell ref="H33:K33"/>
    <mergeCell ref="A34:G34"/>
    <mergeCell ref="A35:L35"/>
    <mergeCell ref="A36:L36"/>
    <mergeCell ref="A37:L37"/>
    <mergeCell ref="A38:L38"/>
    <mergeCell ref="A39:L39"/>
    <mergeCell ref="A42:E42"/>
    <mergeCell ref="H42:L42"/>
  </mergeCells>
  <conditionalFormatting sqref="D15:D24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24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24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24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24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56" t="n">
        <f aca="false">DATE(YEAR($I$11),MONTH($I$11),1)</f>
        <v>46388</v>
      </c>
    </row>
    <row r="2" customFormat="false" ht="24" hidden="false" customHeight="true" outlineLevel="0" collapsed="false">
      <c r="A2" s="25" t="str">
        <f aca="false">הגדרות!$C$17&amp;" · "&amp;"מפגש שבועי בימי "&amp;הגדרות!$C$19&amp;IF(הגדרות!$C$20="",""," ו"&amp;הגדרות!$C$20)&amp;IF(הגדרות!$C$18="",""," ("&amp;הגדרות!$C$18&amp;")")&amp;" · "&amp;CHOOSE(MONTH($N$1),"ינואר","פברואר","מרץ","אפריל","מאי","יוני","יולי","אוגוסט","ספטמבר","אוקטובר","נובמבר","דצמבר")&amp;" "&amp;YEAR($N$1)</f>
        <v>תכנית חוסן · מפגש שבועי בימי רביעי (הוותיקה) · ינואר 2027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N2" s="56" t="n">
        <f aca="false">EOMONTH($N$1,0)</f>
        <v>46418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tr">
        <f aca="false">"חוסן-"&amp;YEAR($N$1)&amp;"-"&amp;TEXT(MONTH($N$1),"00")</f>
        <v>חוסן-2027-01</v>
      </c>
      <c r="D11" s="28"/>
      <c r="E11" s="28"/>
      <c r="G11" s="27" t="s">
        <v>117</v>
      </c>
      <c r="H11" s="27"/>
      <c r="I11" s="57" t="n">
        <v>46388</v>
      </c>
      <c r="J11" s="57"/>
      <c r="K11" s="57"/>
      <c r="L11" s="57"/>
    </row>
    <row r="12" customFormat="false" ht="15" hidden="false" customHeight="false" outlineLevel="0" collapsed="false">
      <c r="A12" s="27" t="s">
        <v>96</v>
      </c>
      <c r="B12" s="27"/>
      <c r="C12" s="58" t="n">
        <f aca="false">$N$2</f>
        <v>46418</v>
      </c>
      <c r="D12" s="58"/>
      <c r="E12" s="58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f aca="false">IF(N15="","",N15)</f>
        <v>46393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N15" s="56" t="n">
        <f aca="false">$N$1+MIN(MOD(הגדרות!$D$19-WEEKDAY($N$1),7),MOD(הגדרות!$D$20-WEEKDAY($N$1),7))</f>
        <v>46393</v>
      </c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f aca="false">IF(N16="","",N16)</f>
        <v>46400</v>
      </c>
      <c r="C16" s="35" t="str">
        <f aca="false">IF(B16="","",INDEX(הגדרות!$F$5:$F$11,WEEKDAY(B16)))</f>
        <v>רביעי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N16" s="56" t="n">
        <f aca="false">IF(N15="","",IF(N15+MIN(MOD(הגדרות!$D$19-WEEKDAY(N15)-1,7)+1,MOD(הגדרות!$D$20-WEEKDAY(N15)-1,7)+1)&gt;$N$2,"",N15+MIN(MOD(הגדרות!$D$19-WEEKDAY(N15)-1,7)+1,MOD(הגדרות!$D$20-WEEKDAY(N15)-1,7)+1)))</f>
        <v>46400</v>
      </c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f aca="false">IF(N17="","",N17)</f>
        <v>46407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N17" s="56" t="n">
        <f aca="false">IF(N16="","",IF(N16+MIN(MOD(הגדרות!$D$19-WEEKDAY(N16)-1,7)+1,MOD(הגדרות!$D$20-WEEKDAY(N16)-1,7)+1)&gt;$N$2,"",N16+MIN(MOD(הגדרות!$D$19-WEEKDAY(N16)-1,7)+1,MOD(הגדרות!$D$20-WEEKDAY(N16)-1,7)+1)))</f>
        <v>46407</v>
      </c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f aca="false">IF(N18="","",N18)</f>
        <v>46414</v>
      </c>
      <c r="C18" s="35" t="str">
        <f aca="false">IF(B18="","",INDEX(הגדרות!$F$5:$F$11,WEEKDAY(B18)))</f>
        <v>רביעי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N18" s="56" t="n">
        <f aca="false">IF(N17="","",IF(N17+MIN(MOD(הגדרות!$D$19-WEEKDAY(N17)-1,7)+1,MOD(הגדרות!$D$20-WEEKDAY(N17)-1,7)+1)&gt;$N$2,"",N17+MIN(MOD(הגדרות!$D$19-WEEKDAY(N17)-1,7)+1,MOD(הגדרות!$D$20-WEEKDAY(N17)-1,7)+1)))</f>
        <v>46414</v>
      </c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str">
        <f aca="false">IF(B19="","",COUNT($B$15:B19))</f>
        <v/>
      </c>
      <c r="B19" s="36" t="str">
        <f aca="false">IF(N19="","",N19)</f>
        <v/>
      </c>
      <c r="C19" s="35" t="str">
        <f aca="false">IF(B19="","",INDEX(הגדרות!$F$5:$F$11,WEEKDAY(B19)))</f>
        <v/>
      </c>
      <c r="D19" s="37" t="s">
        <v>108</v>
      </c>
      <c r="E19" s="38" t="str">
        <f aca="false">IF(B19="","",הגדרות!$C$28)</f>
        <v/>
      </c>
      <c r="F19" s="38"/>
      <c r="G19" s="39" t="str">
        <f aca="false">IF(B19="","",IF(O19=0,0,MIN(הגדרות!$C$29,MAX(E19,F19))))</f>
        <v/>
      </c>
      <c r="H19" s="40" t="str">
        <f aca="false">IF(B19="","",O19*הגדרות!$C$26)</f>
        <v/>
      </c>
      <c r="I19" s="40" t="str">
        <f aca="false">IF(B19="","",O19*G19*הגדרות!$C$27)</f>
        <v/>
      </c>
      <c r="J19" s="41" t="str">
        <f aca="false">IF(B19="","",H19+I19)</f>
        <v/>
      </c>
      <c r="K19" s="42"/>
      <c r="L19" s="43"/>
      <c r="N19" s="56" t="str">
        <f aca="false">IF(N18="","",IF(N18+MIN(MOD(הגדרות!$D$19-WEEKDAY(N18)-1,7)+1,MOD(הגדרות!$D$20-WEEKDAY(N18)-1,7)+1)&gt;$N$2,"",N18+MIN(MOD(הגדרות!$D$19-WEEKDAY(N18)-1,7)+1,MOD(הגדרות!$D$20-WEEKDAY(N18)-1,7)+1)))</f>
        <v/>
      </c>
      <c r="O19" s="0" t="str">
        <f aca="false">IF(B19="","",IF(D19="בוטל בהתראה",0,IF(D19="בוטל ללא התראה",הגדרות!$C$30,1)))</f>
        <v/>
      </c>
    </row>
    <row r="20" customFormat="false" ht="21" hidden="false" customHeight="true" outlineLevel="0" collapsed="false">
      <c r="A20" s="35" t="str">
        <f aca="false">IF(B20="","",COUNT($B$15:B20))</f>
        <v/>
      </c>
      <c r="B20" s="36" t="str">
        <f aca="false">IF(N20="","",N20)</f>
        <v/>
      </c>
      <c r="C20" s="35" t="str">
        <f aca="false">IF(B20="","",INDEX(הגדרות!$F$5:$F$11,WEEKDAY(B20)))</f>
        <v/>
      </c>
      <c r="D20" s="37" t="s">
        <v>108</v>
      </c>
      <c r="E20" s="38" t="str">
        <f aca="false">IF(B20="","",הגדרות!$C$28)</f>
        <v/>
      </c>
      <c r="F20" s="38"/>
      <c r="G20" s="39" t="str">
        <f aca="false">IF(B20="","",IF(O20=0,0,MIN(הגדרות!$C$29,MAX(E20,F20))))</f>
        <v/>
      </c>
      <c r="H20" s="40" t="str">
        <f aca="false">IF(B20="","",O20*הגדרות!$C$26)</f>
        <v/>
      </c>
      <c r="I20" s="40" t="str">
        <f aca="false">IF(B20="","",O20*G20*הגדרות!$C$27)</f>
        <v/>
      </c>
      <c r="J20" s="41" t="str">
        <f aca="false">IF(B20="","",H20+I20)</f>
        <v/>
      </c>
      <c r="K20" s="42"/>
      <c r="L20" s="43"/>
      <c r="N20" s="56" t="str">
        <f aca="false">IF(N19="","",IF(N19+MIN(MOD(הגדרות!$D$19-WEEKDAY(N19)-1,7)+1,MOD(הגדרות!$D$20-WEEKDAY(N19)-1,7)+1)&gt;$N$2,"",N19+MIN(MOD(הגדרות!$D$19-WEEKDAY(N19)-1,7)+1,MOD(הגדרות!$D$20-WEEKDAY(N19)-1,7)+1)))</f>
        <v/>
      </c>
      <c r="O20" s="0" t="str">
        <f aca="false">IF(B20="","",IF(D20="בוטל בהתראה",0,IF(D20="בוטל ללא התראה",הגדרות!$C$30,1)))</f>
        <v/>
      </c>
    </row>
    <row r="21" customFormat="false" ht="21" hidden="false" customHeight="true" outlineLevel="0" collapsed="false">
      <c r="A21" s="35" t="str">
        <f aca="false">IF(B21="","",COUNT($B$15:B21))</f>
        <v/>
      </c>
      <c r="B21" s="36" t="str">
        <f aca="false">IF(N21="","",N21)</f>
        <v/>
      </c>
      <c r="C21" s="35" t="str">
        <f aca="false">IF(B21="","",INDEX(הגדרות!$F$5:$F$11,WEEKDAY(B21)))</f>
        <v/>
      </c>
      <c r="D21" s="37" t="s">
        <v>108</v>
      </c>
      <c r="E21" s="38" t="str">
        <f aca="false">IF(B21="","",הגדרות!$C$28)</f>
        <v/>
      </c>
      <c r="F21" s="38"/>
      <c r="G21" s="39" t="str">
        <f aca="false">IF(B21="","",IF(O21=0,0,MIN(הגדרות!$C$29,MAX(E21,F21))))</f>
        <v/>
      </c>
      <c r="H21" s="40" t="str">
        <f aca="false">IF(B21="","",O21*הגדרות!$C$26)</f>
        <v/>
      </c>
      <c r="I21" s="40" t="str">
        <f aca="false">IF(B21="","",O21*G21*הגדרות!$C$27)</f>
        <v/>
      </c>
      <c r="J21" s="41" t="str">
        <f aca="false">IF(B21="","",H21+I21)</f>
        <v/>
      </c>
      <c r="K21" s="42"/>
      <c r="L21" s="43"/>
      <c r="N21" s="56" t="str">
        <f aca="false">IF(N20="","",IF(N20+MIN(MOD(הגדרות!$D$19-WEEKDAY(N20)-1,7)+1,MOD(הגדרות!$D$20-WEEKDAY(N20)-1,7)+1)&gt;$N$2,"",N20+MIN(MOD(הגדרות!$D$19-WEEKDAY(N20)-1,7)+1,MOD(הגדרות!$D$20-WEEKDAY(N20)-1,7)+1)))</f>
        <v/>
      </c>
      <c r="O21" s="0" t="str">
        <f aca="false">IF(B21="","",IF(D21="בוטל בהתראה",0,IF(D21="בוטל ללא התראה",הגדרות!$C$30,1)))</f>
        <v/>
      </c>
    </row>
    <row r="22" customFormat="false" ht="21" hidden="false" customHeight="true" outlineLevel="0" collapsed="false">
      <c r="A22" s="35" t="str">
        <f aca="false">IF(B22="","",COUNT($B$15:B22))</f>
        <v/>
      </c>
      <c r="B22" s="36" t="str">
        <f aca="false">IF(N22="","",N22)</f>
        <v/>
      </c>
      <c r="C22" s="35" t="str">
        <f aca="false">IF(B22="","",INDEX(הגדרות!$F$5:$F$11,WEEKDAY(B22)))</f>
        <v/>
      </c>
      <c r="D22" s="37" t="s">
        <v>108</v>
      </c>
      <c r="E22" s="38" t="str">
        <f aca="false">IF(B22="","",הגדרות!$C$28)</f>
        <v/>
      </c>
      <c r="F22" s="38"/>
      <c r="G22" s="39" t="str">
        <f aca="false">IF(B22="","",IF(O22=0,0,MIN(הגדרות!$C$29,MAX(E22,F22))))</f>
        <v/>
      </c>
      <c r="H22" s="40" t="str">
        <f aca="false">IF(B22="","",O22*הגדרות!$C$26)</f>
        <v/>
      </c>
      <c r="I22" s="40" t="str">
        <f aca="false">IF(B22="","",O22*G22*הגדרות!$C$27)</f>
        <v/>
      </c>
      <c r="J22" s="41" t="str">
        <f aca="false">IF(B22="","",H22+I22)</f>
        <v/>
      </c>
      <c r="K22" s="42"/>
      <c r="L22" s="43"/>
      <c r="N22" s="56" t="str">
        <f aca="false">IF(N21="","",IF(N21+MIN(MOD(הגדרות!$D$19-WEEKDAY(N21)-1,7)+1,MOD(הגדרות!$D$20-WEEKDAY(N21)-1,7)+1)&gt;$N$2,"",N21+MIN(MOD(הגדרות!$D$19-WEEKDAY(N21)-1,7)+1,MOD(הגדרות!$D$20-WEEKDAY(N21)-1,7)+1)))</f>
        <v/>
      </c>
      <c r="O22" s="0" t="str">
        <f aca="false">IF(B22="","",IF(D22="בוטל בהתראה",0,IF(D22="בוטל ללא התראה",הגדרות!$C$30,1)))</f>
        <v/>
      </c>
    </row>
    <row r="23" customFormat="false" ht="21" hidden="false" customHeight="true" outlineLevel="0" collapsed="false">
      <c r="A23" s="35" t="str">
        <f aca="false">IF(B23="","",COUNT($B$15:B23))</f>
        <v/>
      </c>
      <c r="B23" s="36" t="str">
        <f aca="false">IF(N23="","",N23)</f>
        <v/>
      </c>
      <c r="C23" s="35" t="str">
        <f aca="false">IF(B23="","",INDEX(הגדרות!$F$5:$F$11,WEEKDAY(B23)))</f>
        <v/>
      </c>
      <c r="D23" s="37" t="s">
        <v>108</v>
      </c>
      <c r="E23" s="38" t="str">
        <f aca="false">IF(B23="","",הגדרות!$C$28)</f>
        <v/>
      </c>
      <c r="F23" s="38"/>
      <c r="G23" s="39" t="str">
        <f aca="false">IF(B23="","",IF(O23=0,0,MIN(הגדרות!$C$29,MAX(E23,F23))))</f>
        <v/>
      </c>
      <c r="H23" s="40" t="str">
        <f aca="false">IF(B23="","",O23*הגדרות!$C$26)</f>
        <v/>
      </c>
      <c r="I23" s="40" t="str">
        <f aca="false">IF(B23="","",O23*G23*הגדרות!$C$27)</f>
        <v/>
      </c>
      <c r="J23" s="41" t="str">
        <f aca="false">IF(B23="","",H23+I23)</f>
        <v/>
      </c>
      <c r="K23" s="42"/>
      <c r="L23" s="43"/>
      <c r="N23" s="56" t="str">
        <f aca="false">IF(N22="","",IF(N22+MIN(MOD(הגדרות!$D$19-WEEKDAY(N22)-1,7)+1,MOD(הגדרות!$D$20-WEEKDAY(N22)-1,7)+1)&gt;$N$2,"",N22+MIN(MOD(הגדרות!$D$19-WEEKDAY(N22)-1,7)+1,MOD(הגדרות!$D$20-WEEKDAY(N22)-1,7)+1)))</f>
        <v/>
      </c>
      <c r="O23" s="0" t="str">
        <f aca="false">IF(B23="","",IF(D23="בוטל בהתראה",0,IF(D23="בוטל ללא התראה",הגדרות!$C$30,1)))</f>
        <v/>
      </c>
    </row>
    <row r="24" customFormat="false" ht="21" hidden="false" customHeight="true" outlineLevel="0" collapsed="false">
      <c r="A24" s="35" t="str">
        <f aca="false">IF(B24="","",COUNT($B$15:B24))</f>
        <v/>
      </c>
      <c r="B24" s="36" t="str">
        <f aca="false">IF(N24="","",N24)</f>
        <v/>
      </c>
      <c r="C24" s="35" t="str">
        <f aca="false">IF(B24="","",INDEX(הגדרות!$F$5:$F$11,WEEKDAY(B24)))</f>
        <v/>
      </c>
      <c r="D24" s="37" t="s">
        <v>108</v>
      </c>
      <c r="E24" s="38" t="str">
        <f aca="false">IF(B24="","",הגדרות!$C$28)</f>
        <v/>
      </c>
      <c r="F24" s="38"/>
      <c r="G24" s="39" t="str">
        <f aca="false">IF(B24="","",IF(O24=0,0,MIN(הגדרות!$C$29,MAX(E24,F24))))</f>
        <v/>
      </c>
      <c r="H24" s="40" t="str">
        <f aca="false">IF(B24="","",O24*הגדרות!$C$26)</f>
        <v/>
      </c>
      <c r="I24" s="40" t="str">
        <f aca="false">IF(B24="","",O24*G24*הגדרות!$C$27)</f>
        <v/>
      </c>
      <c r="J24" s="41" t="str">
        <f aca="false">IF(B24="","",H24+I24)</f>
        <v/>
      </c>
      <c r="K24" s="42"/>
      <c r="L24" s="43"/>
      <c r="N24" s="56" t="str">
        <f aca="false">IF(N23="","",IF(N23+MIN(MOD(הגדרות!$D$19-WEEKDAY(N23)-1,7)+1,MOD(הגדרות!$D$20-WEEKDAY(N23)-1,7)+1)&gt;$N$2,"",N23+MIN(MOD(הגדרות!$D$19-WEEKDAY(N23)-1,7)+1,MOD(הגדרות!$D$20-WEEKDAY(N23)-1,7)+1)))</f>
        <v/>
      </c>
      <c r="O24" s="0" t="str">
        <f aca="false">IF(B24="","",IF(D24="בוטל בהתראה",0,IF(D24="בוטל ללא התראה",הגדרות!$C$30,1)))</f>
        <v/>
      </c>
    </row>
    <row r="25" customFormat="false" ht="21.75" hidden="false" customHeight="true" outlineLevel="0" collapsed="false">
      <c r="A25" s="45" t="s">
        <v>109</v>
      </c>
      <c r="B25" s="45"/>
      <c r="C25" s="45"/>
      <c r="D25" s="45"/>
      <c r="E25" s="45"/>
      <c r="F25" s="45"/>
      <c r="G25" s="46" t="n">
        <f aca="false">SUM(G15:G24)</f>
        <v>24</v>
      </c>
      <c r="H25" s="47" t="n">
        <f aca="false">SUM(H15:H24)</f>
        <v>5200</v>
      </c>
      <c r="I25" s="47" t="n">
        <f aca="false">SUM(I15:I24)</f>
        <v>2400</v>
      </c>
      <c r="J25" s="47" t="n">
        <f aca="false">SUM(J15:J24)</f>
        <v>7600</v>
      </c>
      <c r="K25" s="45"/>
      <c r="L25" s="47" t="n">
        <f aca="false">SUM(L15:L24)</f>
        <v>0</v>
      </c>
    </row>
    <row r="26" customFormat="false" ht="25.5" hidden="false" customHeight="true" outlineLevel="0" collapsed="false">
      <c r="A26" s="48" t="s">
        <v>110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8" customFormat="false" ht="19.5" hidden="false" customHeight="true" outlineLevel="0" collapsed="false">
      <c r="A28" s="49" t="s">
        <v>111</v>
      </c>
      <c r="B28" s="49"/>
      <c r="C28" s="49"/>
      <c r="D28" s="49"/>
      <c r="E28" s="49"/>
      <c r="F28" s="49"/>
      <c r="G28" s="49"/>
      <c r="H28" s="50" t="str">
        <f aca="false">"תשלום בסיסי ("&amp;COUNTIF(O15:O24,"&gt;0")&amp;" מפגשים)"</f>
        <v>תשלום בסיסי (4 מפגשים)</v>
      </c>
      <c r="I28" s="50"/>
      <c r="J28" s="50"/>
      <c r="K28" s="50"/>
      <c r="L28" s="40" t="n">
        <f aca="false">H25</f>
        <v>5200</v>
      </c>
    </row>
    <row r="29" customFormat="false" ht="39.75" hidden="false" customHeight="true" outlineLevel="0" collapsed="false">
      <c r="A29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29" s="51"/>
      <c r="C29" s="51"/>
      <c r="D29" s="51"/>
      <c r="E29" s="51"/>
      <c r="F29" s="51"/>
      <c r="G29" s="51"/>
      <c r="H29" s="50" t="str">
        <f aca="false">"תקציב עץ ("&amp;G25&amp;" משתתפים)"</f>
        <v>תקציב עץ (24 משתתפים)</v>
      </c>
      <c r="I29" s="50"/>
      <c r="J29" s="50"/>
      <c r="K29" s="50"/>
      <c r="L29" s="40" t="n">
        <f aca="false">I25</f>
        <v>2400</v>
      </c>
    </row>
    <row r="30" customFormat="false" ht="27.75" hidden="false" customHeight="true" outlineLevel="0" collapsed="false">
      <c r="A30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0" s="51"/>
      <c r="C30" s="51"/>
      <c r="D30" s="51"/>
      <c r="E30" s="51"/>
      <c r="F30" s="51"/>
      <c r="G30" s="51"/>
      <c r="H30" s="50" t="s">
        <v>112</v>
      </c>
      <c r="I30" s="50"/>
      <c r="J30" s="50"/>
      <c r="K30" s="50"/>
      <c r="L30" s="40" t="n">
        <f aca="false">L25</f>
        <v>0</v>
      </c>
    </row>
    <row r="31" customFormat="false" ht="19.5" hidden="false" customHeight="true" outlineLevel="0" collapsed="false">
      <c r="A31" s="51" t="str">
        <f aca="false">"• תקציב עץ: "&amp;TEXT(הגדרות!$C$27,"#,##0")&amp;" ₪ למשתתף."</f>
        <v>• תקציב עץ: 100 ₪ למשתתף.</v>
      </c>
      <c r="B31" s="51"/>
      <c r="C31" s="51"/>
      <c r="D31" s="51"/>
      <c r="E31" s="51"/>
      <c r="F31" s="51"/>
      <c r="G31" s="51"/>
      <c r="H31" s="52" t="s">
        <v>113</v>
      </c>
      <c r="I31" s="52"/>
      <c r="J31" s="52"/>
      <c r="K31" s="52"/>
      <c r="L31" s="41" t="n">
        <f aca="false">L28+L29+L30</f>
        <v>7600</v>
      </c>
    </row>
    <row r="32" customFormat="false" ht="19.5" hidden="false" customHeight="true" outlineLevel="0" collapsed="false">
      <c r="A32" s="51" t="str">
        <f aca="false">IF(הגדרות!$C$34="","","• "&amp;הגדרות!$C$34)</f>
        <v>• המחירים אינם כוללים מע״מ. מע״מ יתווסף כחוק.</v>
      </c>
      <c r="B32" s="51"/>
      <c r="C32" s="51"/>
      <c r="D32" s="51"/>
      <c r="E32" s="51"/>
      <c r="F32" s="51"/>
      <c r="G32" s="51"/>
      <c r="H32" s="50" t="str">
        <f aca="false">"מע״מ "&amp;ROUND(הגדרות!$C$31*100,1)&amp;"%"</f>
        <v>מע״מ 18%</v>
      </c>
      <c r="I32" s="50"/>
      <c r="J32" s="50"/>
      <c r="K32" s="50"/>
      <c r="L32" s="40" t="n">
        <f aca="false">ROUND(L31*הגדרות!$C$31,2)</f>
        <v>1368</v>
      </c>
    </row>
    <row r="33" customFormat="false" ht="27.75" hidden="false" customHeight="true" outlineLevel="0" collapsed="false">
      <c r="A33" s="51" t="str">
        <f aca="false">IF(הגדרות!$C$35="","","• "&amp;הגדרות!$C$35)</f>
        <v>• פרויקטים גדולים ומיוחדים מתומחרים בנפרד לפי עלות החומרים, באישור החווה.</v>
      </c>
      <c r="B33" s="51"/>
      <c r="C33" s="51"/>
      <c r="D33" s="51"/>
      <c r="E33" s="51"/>
      <c r="F33" s="51"/>
      <c r="G33" s="51"/>
      <c r="H33" s="53" t="s">
        <v>114</v>
      </c>
      <c r="I33" s="53"/>
      <c r="J33" s="53"/>
      <c r="K33" s="53"/>
      <c r="L33" s="54" t="n">
        <f aca="false">L31+L32</f>
        <v>8968</v>
      </c>
    </row>
    <row r="34" customFormat="false" ht="15" hidden="false" customHeight="false" outlineLevel="0" collapsed="false">
      <c r="A34" s="51" t="str">
        <f aca="false">IF(הגדרות!$C$36="","","• "&amp;הגדרות!$C$36)</f>
        <v/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9" t="s">
        <v>115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5.75" hidden="false" customHeight="true" outlineLevel="0" collapsed="false">
      <c r="A36" s="51" t="str">
        <f aca="false">"• "&amp;הגדרות!$C$39</f>
        <v>• ביטול מלא של הסדנא: ביטול של עד 48 שעות לפני מועד הסדנא – ללא חיוב.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customFormat="false" ht="15.75" hidden="false" customHeight="true" outlineLevel="0" collapsed="false">
      <c r="A37" s="51" t="str">
        <f aca="false">"• "&amp;הגדרות!$C$40</f>
        <v>• מספר המשתתפים: הסדנא מתוכננת ומוכנה מראש בהתאם למספר המשתתפים שסוכם, עד 6 משתתפים.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15.75" hidden="false" customHeight="true" outlineLevel="0" collapsed="false">
      <c r="A38" s="51" t="str">
        <f aca="false">"• "&amp;הגדרות!$C$41</f>
        <v>• הפחתת מספר המשתתפים: יש לעדכן על שינוי במספר המשתתפים עד 24 שעות לפני הסדנא.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5.5" hidden="false" customHeight="true" outlineLevel="0" collapsed="false">
      <c r="A39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2" customFormat="false" ht="15" hidden="false" customHeight="false" outlineLevel="0" collapsed="false">
      <c r="A42" s="55" t="str">
        <f aca="false">"בברכה, "&amp;הגדרות!$C$6</f>
        <v>בברכה, (למילוי)</v>
      </c>
      <c r="B42" s="55"/>
      <c r="C42" s="55"/>
      <c r="D42" s="55"/>
      <c r="E42" s="55"/>
      <c r="H42" s="55" t="s">
        <v>116</v>
      </c>
      <c r="I42" s="55"/>
      <c r="J42" s="55"/>
      <c r="K42" s="55"/>
      <c r="L42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25:F25"/>
    <mergeCell ref="A26:L26"/>
    <mergeCell ref="A28:G28"/>
    <mergeCell ref="H28:K28"/>
    <mergeCell ref="A29:G29"/>
    <mergeCell ref="H29:K29"/>
    <mergeCell ref="A30:G30"/>
    <mergeCell ref="H30:K30"/>
    <mergeCell ref="A31:G31"/>
    <mergeCell ref="H31:K31"/>
    <mergeCell ref="A32:G32"/>
    <mergeCell ref="H32:K32"/>
    <mergeCell ref="A33:G33"/>
    <mergeCell ref="H33:K33"/>
    <mergeCell ref="A34:G34"/>
    <mergeCell ref="A35:L35"/>
    <mergeCell ref="A36:L36"/>
    <mergeCell ref="A37:L37"/>
    <mergeCell ref="A38:L38"/>
    <mergeCell ref="A39:L39"/>
    <mergeCell ref="A42:E42"/>
    <mergeCell ref="H42:L42"/>
  </mergeCells>
  <conditionalFormatting sqref="D15:D24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24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24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24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24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56" t="n">
        <f aca="false">DATE(YEAR($I$11),MONTH($I$11),1)</f>
        <v>46419</v>
      </c>
    </row>
    <row r="2" customFormat="false" ht="24" hidden="false" customHeight="true" outlineLevel="0" collapsed="false">
      <c r="A2" s="25" t="str">
        <f aca="false">הגדרות!$C$17&amp;" · "&amp;"מפגש שבועי בימי "&amp;הגדרות!$C$19&amp;IF(הגדרות!$C$20="",""," ו"&amp;הגדרות!$C$20)&amp;IF(הגדרות!$C$18="",""," ("&amp;הגדרות!$C$18&amp;")")&amp;" · "&amp;CHOOSE(MONTH($N$1),"ינואר","פברואר","מרץ","אפריל","מאי","יוני","יולי","אוגוסט","ספטמבר","אוקטובר","נובמבר","דצמבר")&amp;" "&amp;YEAR($N$1)</f>
        <v>תכנית חוסן · מפגש שבועי בימי רביעי (הוותיקה) · פברואר 2027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N2" s="56" t="n">
        <f aca="false">EOMONTH($N$1,0)</f>
        <v>46446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tr">
        <f aca="false">"חוסן-"&amp;YEAR($N$1)&amp;"-"&amp;TEXT(MONTH($N$1),"00")</f>
        <v>חוסן-2027-02</v>
      </c>
      <c r="D11" s="28"/>
      <c r="E11" s="28"/>
      <c r="G11" s="27" t="s">
        <v>117</v>
      </c>
      <c r="H11" s="27"/>
      <c r="I11" s="57" t="n">
        <v>46419</v>
      </c>
      <c r="J11" s="57"/>
      <c r="K11" s="57"/>
      <c r="L11" s="57"/>
    </row>
    <row r="12" customFormat="false" ht="15" hidden="false" customHeight="false" outlineLevel="0" collapsed="false">
      <c r="A12" s="27" t="s">
        <v>96</v>
      </c>
      <c r="B12" s="27"/>
      <c r="C12" s="58" t="n">
        <f aca="false">$N$2</f>
        <v>46446</v>
      </c>
      <c r="D12" s="58"/>
      <c r="E12" s="58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f aca="false">IF(N15="","",N15)</f>
        <v>46421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N15" s="56" t="n">
        <f aca="false">$N$1+MIN(MOD(הגדרות!$D$19-WEEKDAY($N$1),7),MOD(הגדרות!$D$20-WEEKDAY($N$1),7))</f>
        <v>46421</v>
      </c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f aca="false">IF(N16="","",N16)</f>
        <v>46428</v>
      </c>
      <c r="C16" s="35" t="str">
        <f aca="false">IF(B16="","",INDEX(הגדרות!$F$5:$F$11,WEEKDAY(B16)))</f>
        <v>רביעי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N16" s="56" t="n">
        <f aca="false">IF(N15="","",IF(N15+MIN(MOD(הגדרות!$D$19-WEEKDAY(N15)-1,7)+1,MOD(הגדרות!$D$20-WEEKDAY(N15)-1,7)+1)&gt;$N$2,"",N15+MIN(MOD(הגדרות!$D$19-WEEKDAY(N15)-1,7)+1,MOD(הגדרות!$D$20-WEEKDAY(N15)-1,7)+1)))</f>
        <v>46428</v>
      </c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f aca="false">IF(N17="","",N17)</f>
        <v>46435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N17" s="56" t="n">
        <f aca="false">IF(N16="","",IF(N16+MIN(MOD(הגדרות!$D$19-WEEKDAY(N16)-1,7)+1,MOD(הגדרות!$D$20-WEEKDAY(N16)-1,7)+1)&gt;$N$2,"",N16+MIN(MOD(הגדרות!$D$19-WEEKDAY(N16)-1,7)+1,MOD(הגדרות!$D$20-WEEKDAY(N16)-1,7)+1)))</f>
        <v>46435</v>
      </c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f aca="false">IF(N18="","",N18)</f>
        <v>46442</v>
      </c>
      <c r="C18" s="35" t="str">
        <f aca="false">IF(B18="","",INDEX(הגדרות!$F$5:$F$11,WEEKDAY(B18)))</f>
        <v>רביעי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N18" s="56" t="n">
        <f aca="false">IF(N17="","",IF(N17+MIN(MOD(הגדרות!$D$19-WEEKDAY(N17)-1,7)+1,MOD(הגדרות!$D$20-WEEKDAY(N17)-1,7)+1)&gt;$N$2,"",N17+MIN(MOD(הגדרות!$D$19-WEEKDAY(N17)-1,7)+1,MOD(הגדרות!$D$20-WEEKDAY(N17)-1,7)+1)))</f>
        <v>46442</v>
      </c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str">
        <f aca="false">IF(B19="","",COUNT($B$15:B19))</f>
        <v/>
      </c>
      <c r="B19" s="36" t="str">
        <f aca="false">IF(N19="","",N19)</f>
        <v/>
      </c>
      <c r="C19" s="35" t="str">
        <f aca="false">IF(B19="","",INDEX(הגדרות!$F$5:$F$11,WEEKDAY(B19)))</f>
        <v/>
      </c>
      <c r="D19" s="37" t="s">
        <v>108</v>
      </c>
      <c r="E19" s="38" t="str">
        <f aca="false">IF(B19="","",הגדרות!$C$28)</f>
        <v/>
      </c>
      <c r="F19" s="38"/>
      <c r="G19" s="39" t="str">
        <f aca="false">IF(B19="","",IF(O19=0,0,MIN(הגדרות!$C$29,MAX(E19,F19))))</f>
        <v/>
      </c>
      <c r="H19" s="40" t="str">
        <f aca="false">IF(B19="","",O19*הגדרות!$C$26)</f>
        <v/>
      </c>
      <c r="I19" s="40" t="str">
        <f aca="false">IF(B19="","",O19*G19*הגדרות!$C$27)</f>
        <v/>
      </c>
      <c r="J19" s="41" t="str">
        <f aca="false">IF(B19="","",H19+I19)</f>
        <v/>
      </c>
      <c r="K19" s="42"/>
      <c r="L19" s="43"/>
      <c r="N19" s="56" t="str">
        <f aca="false">IF(N18="","",IF(N18+MIN(MOD(הגדרות!$D$19-WEEKDAY(N18)-1,7)+1,MOD(הגדרות!$D$20-WEEKDAY(N18)-1,7)+1)&gt;$N$2,"",N18+MIN(MOD(הגדרות!$D$19-WEEKDAY(N18)-1,7)+1,MOD(הגדרות!$D$20-WEEKDAY(N18)-1,7)+1)))</f>
        <v/>
      </c>
      <c r="O19" s="0" t="str">
        <f aca="false">IF(B19="","",IF(D19="בוטל בהתראה",0,IF(D19="בוטל ללא התראה",הגדרות!$C$30,1)))</f>
        <v/>
      </c>
    </row>
    <row r="20" customFormat="false" ht="21" hidden="false" customHeight="true" outlineLevel="0" collapsed="false">
      <c r="A20" s="35" t="str">
        <f aca="false">IF(B20="","",COUNT($B$15:B20))</f>
        <v/>
      </c>
      <c r="B20" s="36" t="str">
        <f aca="false">IF(N20="","",N20)</f>
        <v/>
      </c>
      <c r="C20" s="35" t="str">
        <f aca="false">IF(B20="","",INDEX(הגדרות!$F$5:$F$11,WEEKDAY(B20)))</f>
        <v/>
      </c>
      <c r="D20" s="37" t="s">
        <v>108</v>
      </c>
      <c r="E20" s="38" t="str">
        <f aca="false">IF(B20="","",הגדרות!$C$28)</f>
        <v/>
      </c>
      <c r="F20" s="38"/>
      <c r="G20" s="39" t="str">
        <f aca="false">IF(B20="","",IF(O20=0,0,MIN(הגדרות!$C$29,MAX(E20,F20))))</f>
        <v/>
      </c>
      <c r="H20" s="40" t="str">
        <f aca="false">IF(B20="","",O20*הגדרות!$C$26)</f>
        <v/>
      </c>
      <c r="I20" s="40" t="str">
        <f aca="false">IF(B20="","",O20*G20*הגדרות!$C$27)</f>
        <v/>
      </c>
      <c r="J20" s="41" t="str">
        <f aca="false">IF(B20="","",H20+I20)</f>
        <v/>
      </c>
      <c r="K20" s="42"/>
      <c r="L20" s="43"/>
      <c r="N20" s="56" t="str">
        <f aca="false">IF(N19="","",IF(N19+MIN(MOD(הגדרות!$D$19-WEEKDAY(N19)-1,7)+1,MOD(הגדרות!$D$20-WEEKDAY(N19)-1,7)+1)&gt;$N$2,"",N19+MIN(MOD(הגדרות!$D$19-WEEKDAY(N19)-1,7)+1,MOD(הגדרות!$D$20-WEEKDAY(N19)-1,7)+1)))</f>
        <v/>
      </c>
      <c r="O20" s="0" t="str">
        <f aca="false">IF(B20="","",IF(D20="בוטל בהתראה",0,IF(D20="בוטל ללא התראה",הגדרות!$C$30,1)))</f>
        <v/>
      </c>
    </row>
    <row r="21" customFormat="false" ht="21" hidden="false" customHeight="true" outlineLevel="0" collapsed="false">
      <c r="A21" s="35" t="str">
        <f aca="false">IF(B21="","",COUNT($B$15:B21))</f>
        <v/>
      </c>
      <c r="B21" s="36" t="str">
        <f aca="false">IF(N21="","",N21)</f>
        <v/>
      </c>
      <c r="C21" s="35" t="str">
        <f aca="false">IF(B21="","",INDEX(הגדרות!$F$5:$F$11,WEEKDAY(B21)))</f>
        <v/>
      </c>
      <c r="D21" s="37" t="s">
        <v>108</v>
      </c>
      <c r="E21" s="38" t="str">
        <f aca="false">IF(B21="","",הגדרות!$C$28)</f>
        <v/>
      </c>
      <c r="F21" s="38"/>
      <c r="G21" s="39" t="str">
        <f aca="false">IF(B21="","",IF(O21=0,0,MIN(הגדרות!$C$29,MAX(E21,F21))))</f>
        <v/>
      </c>
      <c r="H21" s="40" t="str">
        <f aca="false">IF(B21="","",O21*הגדרות!$C$26)</f>
        <v/>
      </c>
      <c r="I21" s="40" t="str">
        <f aca="false">IF(B21="","",O21*G21*הגדרות!$C$27)</f>
        <v/>
      </c>
      <c r="J21" s="41" t="str">
        <f aca="false">IF(B21="","",H21+I21)</f>
        <v/>
      </c>
      <c r="K21" s="42"/>
      <c r="L21" s="43"/>
      <c r="N21" s="56" t="str">
        <f aca="false">IF(N20="","",IF(N20+MIN(MOD(הגדרות!$D$19-WEEKDAY(N20)-1,7)+1,MOD(הגדרות!$D$20-WEEKDAY(N20)-1,7)+1)&gt;$N$2,"",N20+MIN(MOD(הגדרות!$D$19-WEEKDAY(N20)-1,7)+1,MOD(הגדרות!$D$20-WEEKDAY(N20)-1,7)+1)))</f>
        <v/>
      </c>
      <c r="O21" s="0" t="str">
        <f aca="false">IF(B21="","",IF(D21="בוטל בהתראה",0,IF(D21="בוטל ללא התראה",הגדרות!$C$30,1)))</f>
        <v/>
      </c>
    </row>
    <row r="22" customFormat="false" ht="21" hidden="false" customHeight="true" outlineLevel="0" collapsed="false">
      <c r="A22" s="35" t="str">
        <f aca="false">IF(B22="","",COUNT($B$15:B22))</f>
        <v/>
      </c>
      <c r="B22" s="36" t="str">
        <f aca="false">IF(N22="","",N22)</f>
        <v/>
      </c>
      <c r="C22" s="35" t="str">
        <f aca="false">IF(B22="","",INDEX(הגדרות!$F$5:$F$11,WEEKDAY(B22)))</f>
        <v/>
      </c>
      <c r="D22" s="37" t="s">
        <v>108</v>
      </c>
      <c r="E22" s="38" t="str">
        <f aca="false">IF(B22="","",הגדרות!$C$28)</f>
        <v/>
      </c>
      <c r="F22" s="38"/>
      <c r="G22" s="39" t="str">
        <f aca="false">IF(B22="","",IF(O22=0,0,MIN(הגדרות!$C$29,MAX(E22,F22))))</f>
        <v/>
      </c>
      <c r="H22" s="40" t="str">
        <f aca="false">IF(B22="","",O22*הגדרות!$C$26)</f>
        <v/>
      </c>
      <c r="I22" s="40" t="str">
        <f aca="false">IF(B22="","",O22*G22*הגדרות!$C$27)</f>
        <v/>
      </c>
      <c r="J22" s="41" t="str">
        <f aca="false">IF(B22="","",H22+I22)</f>
        <v/>
      </c>
      <c r="K22" s="42"/>
      <c r="L22" s="43"/>
      <c r="N22" s="56" t="str">
        <f aca="false">IF(N21="","",IF(N21+MIN(MOD(הגדרות!$D$19-WEEKDAY(N21)-1,7)+1,MOD(הגדרות!$D$20-WEEKDAY(N21)-1,7)+1)&gt;$N$2,"",N21+MIN(MOD(הגדרות!$D$19-WEEKDAY(N21)-1,7)+1,MOD(הגדרות!$D$20-WEEKDAY(N21)-1,7)+1)))</f>
        <v/>
      </c>
      <c r="O22" s="0" t="str">
        <f aca="false">IF(B22="","",IF(D22="בוטל בהתראה",0,IF(D22="בוטל ללא התראה",הגדרות!$C$30,1)))</f>
        <v/>
      </c>
    </row>
    <row r="23" customFormat="false" ht="21" hidden="false" customHeight="true" outlineLevel="0" collapsed="false">
      <c r="A23" s="35" t="str">
        <f aca="false">IF(B23="","",COUNT($B$15:B23))</f>
        <v/>
      </c>
      <c r="B23" s="36" t="str">
        <f aca="false">IF(N23="","",N23)</f>
        <v/>
      </c>
      <c r="C23" s="35" t="str">
        <f aca="false">IF(B23="","",INDEX(הגדרות!$F$5:$F$11,WEEKDAY(B23)))</f>
        <v/>
      </c>
      <c r="D23" s="37" t="s">
        <v>108</v>
      </c>
      <c r="E23" s="38" t="str">
        <f aca="false">IF(B23="","",הגדרות!$C$28)</f>
        <v/>
      </c>
      <c r="F23" s="38"/>
      <c r="G23" s="39" t="str">
        <f aca="false">IF(B23="","",IF(O23=0,0,MIN(הגדרות!$C$29,MAX(E23,F23))))</f>
        <v/>
      </c>
      <c r="H23" s="40" t="str">
        <f aca="false">IF(B23="","",O23*הגדרות!$C$26)</f>
        <v/>
      </c>
      <c r="I23" s="40" t="str">
        <f aca="false">IF(B23="","",O23*G23*הגדרות!$C$27)</f>
        <v/>
      </c>
      <c r="J23" s="41" t="str">
        <f aca="false">IF(B23="","",H23+I23)</f>
        <v/>
      </c>
      <c r="K23" s="42"/>
      <c r="L23" s="43"/>
      <c r="N23" s="56" t="str">
        <f aca="false">IF(N22="","",IF(N22+MIN(MOD(הגדרות!$D$19-WEEKDAY(N22)-1,7)+1,MOD(הגדרות!$D$20-WEEKDAY(N22)-1,7)+1)&gt;$N$2,"",N22+MIN(MOD(הגדרות!$D$19-WEEKDAY(N22)-1,7)+1,MOD(הגדרות!$D$20-WEEKDAY(N22)-1,7)+1)))</f>
        <v/>
      </c>
      <c r="O23" s="0" t="str">
        <f aca="false">IF(B23="","",IF(D23="בוטל בהתראה",0,IF(D23="בוטל ללא התראה",הגדרות!$C$30,1)))</f>
        <v/>
      </c>
    </row>
    <row r="24" customFormat="false" ht="21" hidden="false" customHeight="true" outlineLevel="0" collapsed="false">
      <c r="A24" s="35" t="str">
        <f aca="false">IF(B24="","",COUNT($B$15:B24))</f>
        <v/>
      </c>
      <c r="B24" s="36" t="str">
        <f aca="false">IF(N24="","",N24)</f>
        <v/>
      </c>
      <c r="C24" s="35" t="str">
        <f aca="false">IF(B24="","",INDEX(הגדרות!$F$5:$F$11,WEEKDAY(B24)))</f>
        <v/>
      </c>
      <c r="D24" s="37" t="s">
        <v>108</v>
      </c>
      <c r="E24" s="38" t="str">
        <f aca="false">IF(B24="","",הגדרות!$C$28)</f>
        <v/>
      </c>
      <c r="F24" s="38"/>
      <c r="G24" s="39" t="str">
        <f aca="false">IF(B24="","",IF(O24=0,0,MIN(הגדרות!$C$29,MAX(E24,F24))))</f>
        <v/>
      </c>
      <c r="H24" s="40" t="str">
        <f aca="false">IF(B24="","",O24*הגדרות!$C$26)</f>
        <v/>
      </c>
      <c r="I24" s="40" t="str">
        <f aca="false">IF(B24="","",O24*G24*הגדרות!$C$27)</f>
        <v/>
      </c>
      <c r="J24" s="41" t="str">
        <f aca="false">IF(B24="","",H24+I24)</f>
        <v/>
      </c>
      <c r="K24" s="42"/>
      <c r="L24" s="43"/>
      <c r="N24" s="56" t="str">
        <f aca="false">IF(N23="","",IF(N23+MIN(MOD(הגדרות!$D$19-WEEKDAY(N23)-1,7)+1,MOD(הגדרות!$D$20-WEEKDAY(N23)-1,7)+1)&gt;$N$2,"",N23+MIN(MOD(הגדרות!$D$19-WEEKDAY(N23)-1,7)+1,MOD(הגדרות!$D$20-WEEKDAY(N23)-1,7)+1)))</f>
        <v/>
      </c>
      <c r="O24" s="0" t="str">
        <f aca="false">IF(B24="","",IF(D24="בוטל בהתראה",0,IF(D24="בוטל ללא התראה",הגדרות!$C$30,1)))</f>
        <v/>
      </c>
    </row>
    <row r="25" customFormat="false" ht="21.75" hidden="false" customHeight="true" outlineLevel="0" collapsed="false">
      <c r="A25" s="45" t="s">
        <v>109</v>
      </c>
      <c r="B25" s="45"/>
      <c r="C25" s="45"/>
      <c r="D25" s="45"/>
      <c r="E25" s="45"/>
      <c r="F25" s="45"/>
      <c r="G25" s="46" t="n">
        <f aca="false">SUM(G15:G24)</f>
        <v>24</v>
      </c>
      <c r="H25" s="47" t="n">
        <f aca="false">SUM(H15:H24)</f>
        <v>5200</v>
      </c>
      <c r="I25" s="47" t="n">
        <f aca="false">SUM(I15:I24)</f>
        <v>2400</v>
      </c>
      <c r="J25" s="47" t="n">
        <f aca="false">SUM(J15:J24)</f>
        <v>7600</v>
      </c>
      <c r="K25" s="45"/>
      <c r="L25" s="47" t="n">
        <f aca="false">SUM(L15:L24)</f>
        <v>0</v>
      </c>
    </row>
    <row r="26" customFormat="false" ht="25.5" hidden="false" customHeight="true" outlineLevel="0" collapsed="false">
      <c r="A26" s="48" t="s">
        <v>110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8" customFormat="false" ht="19.5" hidden="false" customHeight="true" outlineLevel="0" collapsed="false">
      <c r="A28" s="49" t="s">
        <v>111</v>
      </c>
      <c r="B28" s="49"/>
      <c r="C28" s="49"/>
      <c r="D28" s="49"/>
      <c r="E28" s="49"/>
      <c r="F28" s="49"/>
      <c r="G28" s="49"/>
      <c r="H28" s="50" t="str">
        <f aca="false">"תשלום בסיסי ("&amp;COUNTIF(O15:O24,"&gt;0")&amp;" מפגשים)"</f>
        <v>תשלום בסיסי (4 מפגשים)</v>
      </c>
      <c r="I28" s="50"/>
      <c r="J28" s="50"/>
      <c r="K28" s="50"/>
      <c r="L28" s="40" t="n">
        <f aca="false">H25</f>
        <v>5200</v>
      </c>
    </row>
    <row r="29" customFormat="false" ht="39.75" hidden="false" customHeight="true" outlineLevel="0" collapsed="false">
      <c r="A29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29" s="51"/>
      <c r="C29" s="51"/>
      <c r="D29" s="51"/>
      <c r="E29" s="51"/>
      <c r="F29" s="51"/>
      <c r="G29" s="51"/>
      <c r="H29" s="50" t="str">
        <f aca="false">"תקציב עץ ("&amp;G25&amp;" משתתפים)"</f>
        <v>תקציב עץ (24 משתתפים)</v>
      </c>
      <c r="I29" s="50"/>
      <c r="J29" s="50"/>
      <c r="K29" s="50"/>
      <c r="L29" s="40" t="n">
        <f aca="false">I25</f>
        <v>2400</v>
      </c>
    </row>
    <row r="30" customFormat="false" ht="27.75" hidden="false" customHeight="true" outlineLevel="0" collapsed="false">
      <c r="A30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0" s="51"/>
      <c r="C30" s="51"/>
      <c r="D30" s="51"/>
      <c r="E30" s="51"/>
      <c r="F30" s="51"/>
      <c r="G30" s="51"/>
      <c r="H30" s="50" t="s">
        <v>112</v>
      </c>
      <c r="I30" s="50"/>
      <c r="J30" s="50"/>
      <c r="K30" s="50"/>
      <c r="L30" s="40" t="n">
        <f aca="false">L25</f>
        <v>0</v>
      </c>
    </row>
    <row r="31" customFormat="false" ht="19.5" hidden="false" customHeight="true" outlineLevel="0" collapsed="false">
      <c r="A31" s="51" t="str">
        <f aca="false">"• תקציב עץ: "&amp;TEXT(הגדרות!$C$27,"#,##0")&amp;" ₪ למשתתף."</f>
        <v>• תקציב עץ: 100 ₪ למשתתף.</v>
      </c>
      <c r="B31" s="51"/>
      <c r="C31" s="51"/>
      <c r="D31" s="51"/>
      <c r="E31" s="51"/>
      <c r="F31" s="51"/>
      <c r="G31" s="51"/>
      <c r="H31" s="52" t="s">
        <v>113</v>
      </c>
      <c r="I31" s="52"/>
      <c r="J31" s="52"/>
      <c r="K31" s="52"/>
      <c r="L31" s="41" t="n">
        <f aca="false">L28+L29+L30</f>
        <v>7600</v>
      </c>
    </row>
    <row r="32" customFormat="false" ht="19.5" hidden="false" customHeight="true" outlineLevel="0" collapsed="false">
      <c r="A32" s="51" t="str">
        <f aca="false">IF(הגדרות!$C$34="","","• "&amp;הגדרות!$C$34)</f>
        <v>• המחירים אינם כוללים מע״מ. מע״מ יתווסף כחוק.</v>
      </c>
      <c r="B32" s="51"/>
      <c r="C32" s="51"/>
      <c r="D32" s="51"/>
      <c r="E32" s="51"/>
      <c r="F32" s="51"/>
      <c r="G32" s="51"/>
      <c r="H32" s="50" t="str">
        <f aca="false">"מע״מ "&amp;ROUND(הגדרות!$C$31*100,1)&amp;"%"</f>
        <v>מע״מ 18%</v>
      </c>
      <c r="I32" s="50"/>
      <c r="J32" s="50"/>
      <c r="K32" s="50"/>
      <c r="L32" s="40" t="n">
        <f aca="false">ROUND(L31*הגדרות!$C$31,2)</f>
        <v>1368</v>
      </c>
    </row>
    <row r="33" customFormat="false" ht="27.75" hidden="false" customHeight="true" outlineLevel="0" collapsed="false">
      <c r="A33" s="51" t="str">
        <f aca="false">IF(הגדרות!$C$35="","","• "&amp;הגדרות!$C$35)</f>
        <v>• פרויקטים גדולים ומיוחדים מתומחרים בנפרד לפי עלות החומרים, באישור החווה.</v>
      </c>
      <c r="B33" s="51"/>
      <c r="C33" s="51"/>
      <c r="D33" s="51"/>
      <c r="E33" s="51"/>
      <c r="F33" s="51"/>
      <c r="G33" s="51"/>
      <c r="H33" s="53" t="s">
        <v>114</v>
      </c>
      <c r="I33" s="53"/>
      <c r="J33" s="53"/>
      <c r="K33" s="53"/>
      <c r="L33" s="54" t="n">
        <f aca="false">L31+L32</f>
        <v>8968</v>
      </c>
    </row>
    <row r="34" customFormat="false" ht="15" hidden="false" customHeight="false" outlineLevel="0" collapsed="false">
      <c r="A34" s="51" t="str">
        <f aca="false">IF(הגדרות!$C$36="","","• "&amp;הגדרות!$C$36)</f>
        <v/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9" t="s">
        <v>115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5.75" hidden="false" customHeight="true" outlineLevel="0" collapsed="false">
      <c r="A36" s="51" t="str">
        <f aca="false">"• "&amp;הגדרות!$C$39</f>
        <v>• ביטול מלא של הסדנא: ביטול של עד 48 שעות לפני מועד הסדנא – ללא חיוב.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customFormat="false" ht="15.75" hidden="false" customHeight="true" outlineLevel="0" collapsed="false">
      <c r="A37" s="51" t="str">
        <f aca="false">"• "&amp;הגדרות!$C$40</f>
        <v>• מספר המשתתפים: הסדנא מתוכננת ומוכנה מראש בהתאם למספר המשתתפים שסוכם, עד 6 משתתפים.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15.75" hidden="false" customHeight="true" outlineLevel="0" collapsed="false">
      <c r="A38" s="51" t="str">
        <f aca="false">"• "&amp;הגדרות!$C$41</f>
        <v>• הפחתת מספר המשתתפים: יש לעדכן על שינוי במספר המשתתפים עד 24 שעות לפני הסדנא.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5.5" hidden="false" customHeight="true" outlineLevel="0" collapsed="false">
      <c r="A39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2" customFormat="false" ht="15" hidden="false" customHeight="false" outlineLevel="0" collapsed="false">
      <c r="A42" s="55" t="str">
        <f aca="false">"בברכה, "&amp;הגדרות!$C$6</f>
        <v>בברכה, (למילוי)</v>
      </c>
      <c r="B42" s="55"/>
      <c r="C42" s="55"/>
      <c r="D42" s="55"/>
      <c r="E42" s="55"/>
      <c r="H42" s="55" t="s">
        <v>116</v>
      </c>
      <c r="I42" s="55"/>
      <c r="J42" s="55"/>
      <c r="K42" s="55"/>
      <c r="L42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25:F25"/>
    <mergeCell ref="A26:L26"/>
    <mergeCell ref="A28:G28"/>
    <mergeCell ref="H28:K28"/>
    <mergeCell ref="A29:G29"/>
    <mergeCell ref="H29:K29"/>
    <mergeCell ref="A30:G30"/>
    <mergeCell ref="H30:K30"/>
    <mergeCell ref="A31:G31"/>
    <mergeCell ref="H31:K31"/>
    <mergeCell ref="A32:G32"/>
    <mergeCell ref="H32:K32"/>
    <mergeCell ref="A33:G33"/>
    <mergeCell ref="H33:K33"/>
    <mergeCell ref="A34:G34"/>
    <mergeCell ref="A35:L35"/>
    <mergeCell ref="A36:L36"/>
    <mergeCell ref="A37:L37"/>
    <mergeCell ref="A38:L38"/>
    <mergeCell ref="A39:L39"/>
    <mergeCell ref="A42:E42"/>
    <mergeCell ref="H42:L42"/>
  </mergeCells>
  <conditionalFormatting sqref="D15:D24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24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24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24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24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56" t="n">
        <f aca="false">DATE(YEAR($I$11),MONTH($I$11),1)</f>
        <v>46447</v>
      </c>
    </row>
    <row r="2" customFormat="false" ht="24" hidden="false" customHeight="true" outlineLevel="0" collapsed="false">
      <c r="A2" s="25" t="str">
        <f aca="false">הגדרות!$C$17&amp;" · "&amp;"מפגש שבועי בימי "&amp;הגדרות!$C$19&amp;IF(הגדרות!$C$20="",""," ו"&amp;הגדרות!$C$20)&amp;IF(הגדרות!$C$18="",""," ("&amp;הגדרות!$C$18&amp;")")&amp;" · "&amp;CHOOSE(MONTH($N$1),"ינואר","פברואר","מרץ","אפריל","מאי","יוני","יולי","אוגוסט","ספטמבר","אוקטובר","נובמבר","דצמבר")&amp;" "&amp;YEAR($N$1)</f>
        <v>תכנית חוסן · מפגש שבועי בימי רביעי (הוותיקה) · מרץ 2027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N2" s="56" t="n">
        <f aca="false">EOMONTH($N$1,0)</f>
        <v>46477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tr">
        <f aca="false">"חוסן-"&amp;YEAR($N$1)&amp;"-"&amp;TEXT(MONTH($N$1),"00")</f>
        <v>חוסן-2027-03</v>
      </c>
      <c r="D11" s="28"/>
      <c r="E11" s="28"/>
      <c r="G11" s="27" t="s">
        <v>117</v>
      </c>
      <c r="H11" s="27"/>
      <c r="I11" s="57" t="n">
        <v>46447</v>
      </c>
      <c r="J11" s="57"/>
      <c r="K11" s="57"/>
      <c r="L11" s="57"/>
    </row>
    <row r="12" customFormat="false" ht="15" hidden="false" customHeight="false" outlineLevel="0" collapsed="false">
      <c r="A12" s="27" t="s">
        <v>96</v>
      </c>
      <c r="B12" s="27"/>
      <c r="C12" s="58" t="n">
        <f aca="false">$N$2</f>
        <v>46477</v>
      </c>
      <c r="D12" s="58"/>
      <c r="E12" s="58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f aca="false">IF(N15="","",N15)</f>
        <v>46449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N15" s="56" t="n">
        <f aca="false">$N$1+MIN(MOD(הגדרות!$D$19-WEEKDAY($N$1),7),MOD(הגדרות!$D$20-WEEKDAY($N$1),7))</f>
        <v>46449</v>
      </c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f aca="false">IF(N16="","",N16)</f>
        <v>46456</v>
      </c>
      <c r="C16" s="35" t="str">
        <f aca="false">IF(B16="","",INDEX(הגדרות!$F$5:$F$11,WEEKDAY(B16)))</f>
        <v>רביעי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N16" s="56" t="n">
        <f aca="false">IF(N15="","",IF(N15+MIN(MOD(הגדרות!$D$19-WEEKDAY(N15)-1,7)+1,MOD(הגדרות!$D$20-WEEKDAY(N15)-1,7)+1)&gt;$N$2,"",N15+MIN(MOD(הגדרות!$D$19-WEEKDAY(N15)-1,7)+1,MOD(הגדרות!$D$20-WEEKDAY(N15)-1,7)+1)))</f>
        <v>46456</v>
      </c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f aca="false">IF(N17="","",N17)</f>
        <v>46463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N17" s="56" t="n">
        <f aca="false">IF(N16="","",IF(N16+MIN(MOD(הגדרות!$D$19-WEEKDAY(N16)-1,7)+1,MOD(הגדרות!$D$20-WEEKDAY(N16)-1,7)+1)&gt;$N$2,"",N16+MIN(MOD(הגדרות!$D$19-WEEKDAY(N16)-1,7)+1,MOD(הגדרות!$D$20-WEEKDAY(N16)-1,7)+1)))</f>
        <v>46463</v>
      </c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f aca="false">IF(N18="","",N18)</f>
        <v>46470</v>
      </c>
      <c r="C18" s="35" t="str">
        <f aca="false">IF(B18="","",INDEX(הגדרות!$F$5:$F$11,WEEKDAY(B18)))</f>
        <v>רביעי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N18" s="56" t="n">
        <f aca="false">IF(N17="","",IF(N17+MIN(MOD(הגדרות!$D$19-WEEKDAY(N17)-1,7)+1,MOD(הגדרות!$D$20-WEEKDAY(N17)-1,7)+1)&gt;$N$2,"",N17+MIN(MOD(הגדרות!$D$19-WEEKDAY(N17)-1,7)+1,MOD(הגדרות!$D$20-WEEKDAY(N17)-1,7)+1)))</f>
        <v>46470</v>
      </c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n">
        <f aca="false">IF(B19="","",COUNT($B$15:B19))</f>
        <v>5</v>
      </c>
      <c r="B19" s="36" t="n">
        <f aca="false">IF(N19="","",N19)</f>
        <v>46477</v>
      </c>
      <c r="C19" s="35" t="str">
        <f aca="false">IF(B19="","",INDEX(הגדרות!$F$5:$F$11,WEEKDAY(B19)))</f>
        <v>רביעי</v>
      </c>
      <c r="D19" s="37" t="s">
        <v>108</v>
      </c>
      <c r="E19" s="38" t="n">
        <f aca="false">IF(B19="","",הגדרות!$C$28)</f>
        <v>6</v>
      </c>
      <c r="F19" s="38"/>
      <c r="G19" s="39" t="n">
        <f aca="false">IF(B19="","",IF(O19=0,0,MIN(הגדרות!$C$29,MAX(E19,F19))))</f>
        <v>6</v>
      </c>
      <c r="H19" s="40" t="n">
        <f aca="false">IF(B19="","",O19*הגדרות!$C$26)</f>
        <v>1300</v>
      </c>
      <c r="I19" s="40" t="n">
        <f aca="false">IF(B19="","",O19*G19*הגדרות!$C$27)</f>
        <v>600</v>
      </c>
      <c r="J19" s="41" t="n">
        <f aca="false">IF(B19="","",H19+I19)</f>
        <v>1900</v>
      </c>
      <c r="K19" s="42"/>
      <c r="L19" s="43"/>
      <c r="N19" s="56" t="n">
        <f aca="false">IF(N18="","",IF(N18+MIN(MOD(הגדרות!$D$19-WEEKDAY(N18)-1,7)+1,MOD(הגדרות!$D$20-WEEKDAY(N18)-1,7)+1)&gt;$N$2,"",N18+MIN(MOD(הגדרות!$D$19-WEEKDAY(N18)-1,7)+1,MOD(הגדרות!$D$20-WEEKDAY(N18)-1,7)+1)))</f>
        <v>46477</v>
      </c>
      <c r="O19" s="44" t="n">
        <f aca="false">IF(B19="","",IF(D19="בוטל בהתראה",0,IF(D19="בוטל ללא התראה",הגדרות!$C$30,1)))</f>
        <v>1</v>
      </c>
    </row>
    <row r="20" customFormat="false" ht="21" hidden="false" customHeight="true" outlineLevel="0" collapsed="false">
      <c r="A20" s="35" t="str">
        <f aca="false">IF(B20="","",COUNT($B$15:B20))</f>
        <v/>
      </c>
      <c r="B20" s="36" t="str">
        <f aca="false">IF(N20="","",N20)</f>
        <v/>
      </c>
      <c r="C20" s="35" t="str">
        <f aca="false">IF(B20="","",INDEX(הגדרות!$F$5:$F$11,WEEKDAY(B20)))</f>
        <v/>
      </c>
      <c r="D20" s="37" t="s">
        <v>108</v>
      </c>
      <c r="E20" s="38" t="str">
        <f aca="false">IF(B20="","",הגדרות!$C$28)</f>
        <v/>
      </c>
      <c r="F20" s="38"/>
      <c r="G20" s="39" t="str">
        <f aca="false">IF(B20="","",IF(O20=0,0,MIN(הגדרות!$C$29,MAX(E20,F20))))</f>
        <v/>
      </c>
      <c r="H20" s="40" t="str">
        <f aca="false">IF(B20="","",O20*הגדרות!$C$26)</f>
        <v/>
      </c>
      <c r="I20" s="40" t="str">
        <f aca="false">IF(B20="","",O20*G20*הגדרות!$C$27)</f>
        <v/>
      </c>
      <c r="J20" s="41" t="str">
        <f aca="false">IF(B20="","",H20+I20)</f>
        <v/>
      </c>
      <c r="K20" s="42"/>
      <c r="L20" s="43"/>
      <c r="N20" s="56" t="str">
        <f aca="false">IF(N19="","",IF(N19+MIN(MOD(הגדרות!$D$19-WEEKDAY(N19)-1,7)+1,MOD(הגדרות!$D$20-WEEKDAY(N19)-1,7)+1)&gt;$N$2,"",N19+MIN(MOD(הגדרות!$D$19-WEEKDAY(N19)-1,7)+1,MOD(הגדרות!$D$20-WEEKDAY(N19)-1,7)+1)))</f>
        <v/>
      </c>
      <c r="O20" s="0" t="str">
        <f aca="false">IF(B20="","",IF(D20="בוטל בהתראה",0,IF(D20="בוטל ללא התראה",הגדרות!$C$30,1)))</f>
        <v/>
      </c>
    </row>
    <row r="21" customFormat="false" ht="21" hidden="false" customHeight="true" outlineLevel="0" collapsed="false">
      <c r="A21" s="35" t="str">
        <f aca="false">IF(B21="","",COUNT($B$15:B21))</f>
        <v/>
      </c>
      <c r="B21" s="36" t="str">
        <f aca="false">IF(N21="","",N21)</f>
        <v/>
      </c>
      <c r="C21" s="35" t="str">
        <f aca="false">IF(B21="","",INDEX(הגדרות!$F$5:$F$11,WEEKDAY(B21)))</f>
        <v/>
      </c>
      <c r="D21" s="37" t="s">
        <v>108</v>
      </c>
      <c r="E21" s="38" t="str">
        <f aca="false">IF(B21="","",הגדרות!$C$28)</f>
        <v/>
      </c>
      <c r="F21" s="38"/>
      <c r="G21" s="39" t="str">
        <f aca="false">IF(B21="","",IF(O21=0,0,MIN(הגדרות!$C$29,MAX(E21,F21))))</f>
        <v/>
      </c>
      <c r="H21" s="40" t="str">
        <f aca="false">IF(B21="","",O21*הגדרות!$C$26)</f>
        <v/>
      </c>
      <c r="I21" s="40" t="str">
        <f aca="false">IF(B21="","",O21*G21*הגדרות!$C$27)</f>
        <v/>
      </c>
      <c r="J21" s="41" t="str">
        <f aca="false">IF(B21="","",H21+I21)</f>
        <v/>
      </c>
      <c r="K21" s="42"/>
      <c r="L21" s="43"/>
      <c r="N21" s="56" t="str">
        <f aca="false">IF(N20="","",IF(N20+MIN(MOD(הגדרות!$D$19-WEEKDAY(N20)-1,7)+1,MOD(הגדרות!$D$20-WEEKDAY(N20)-1,7)+1)&gt;$N$2,"",N20+MIN(MOD(הגדרות!$D$19-WEEKDAY(N20)-1,7)+1,MOD(הגדרות!$D$20-WEEKDAY(N20)-1,7)+1)))</f>
        <v/>
      </c>
      <c r="O21" s="0" t="str">
        <f aca="false">IF(B21="","",IF(D21="בוטל בהתראה",0,IF(D21="בוטל ללא התראה",הגדרות!$C$30,1)))</f>
        <v/>
      </c>
    </row>
    <row r="22" customFormat="false" ht="21" hidden="false" customHeight="true" outlineLevel="0" collapsed="false">
      <c r="A22" s="35" t="str">
        <f aca="false">IF(B22="","",COUNT($B$15:B22))</f>
        <v/>
      </c>
      <c r="B22" s="36" t="str">
        <f aca="false">IF(N22="","",N22)</f>
        <v/>
      </c>
      <c r="C22" s="35" t="str">
        <f aca="false">IF(B22="","",INDEX(הגדרות!$F$5:$F$11,WEEKDAY(B22)))</f>
        <v/>
      </c>
      <c r="D22" s="37" t="s">
        <v>108</v>
      </c>
      <c r="E22" s="38" t="str">
        <f aca="false">IF(B22="","",הגדרות!$C$28)</f>
        <v/>
      </c>
      <c r="F22" s="38"/>
      <c r="G22" s="39" t="str">
        <f aca="false">IF(B22="","",IF(O22=0,0,MIN(הגדרות!$C$29,MAX(E22,F22))))</f>
        <v/>
      </c>
      <c r="H22" s="40" t="str">
        <f aca="false">IF(B22="","",O22*הגדרות!$C$26)</f>
        <v/>
      </c>
      <c r="I22" s="40" t="str">
        <f aca="false">IF(B22="","",O22*G22*הגדרות!$C$27)</f>
        <v/>
      </c>
      <c r="J22" s="41" t="str">
        <f aca="false">IF(B22="","",H22+I22)</f>
        <v/>
      </c>
      <c r="K22" s="42"/>
      <c r="L22" s="43"/>
      <c r="N22" s="56" t="str">
        <f aca="false">IF(N21="","",IF(N21+MIN(MOD(הגדרות!$D$19-WEEKDAY(N21)-1,7)+1,MOD(הגדרות!$D$20-WEEKDAY(N21)-1,7)+1)&gt;$N$2,"",N21+MIN(MOD(הגדרות!$D$19-WEEKDAY(N21)-1,7)+1,MOD(הגדרות!$D$20-WEEKDAY(N21)-1,7)+1)))</f>
        <v/>
      </c>
      <c r="O22" s="0" t="str">
        <f aca="false">IF(B22="","",IF(D22="בוטל בהתראה",0,IF(D22="בוטל ללא התראה",הגדרות!$C$30,1)))</f>
        <v/>
      </c>
    </row>
    <row r="23" customFormat="false" ht="21" hidden="false" customHeight="true" outlineLevel="0" collapsed="false">
      <c r="A23" s="35" t="str">
        <f aca="false">IF(B23="","",COUNT($B$15:B23))</f>
        <v/>
      </c>
      <c r="B23" s="36" t="str">
        <f aca="false">IF(N23="","",N23)</f>
        <v/>
      </c>
      <c r="C23" s="35" t="str">
        <f aca="false">IF(B23="","",INDEX(הגדרות!$F$5:$F$11,WEEKDAY(B23)))</f>
        <v/>
      </c>
      <c r="D23" s="37" t="s">
        <v>108</v>
      </c>
      <c r="E23" s="38" t="str">
        <f aca="false">IF(B23="","",הגדרות!$C$28)</f>
        <v/>
      </c>
      <c r="F23" s="38"/>
      <c r="G23" s="39" t="str">
        <f aca="false">IF(B23="","",IF(O23=0,0,MIN(הגדרות!$C$29,MAX(E23,F23))))</f>
        <v/>
      </c>
      <c r="H23" s="40" t="str">
        <f aca="false">IF(B23="","",O23*הגדרות!$C$26)</f>
        <v/>
      </c>
      <c r="I23" s="40" t="str">
        <f aca="false">IF(B23="","",O23*G23*הגדרות!$C$27)</f>
        <v/>
      </c>
      <c r="J23" s="41" t="str">
        <f aca="false">IF(B23="","",H23+I23)</f>
        <v/>
      </c>
      <c r="K23" s="42"/>
      <c r="L23" s="43"/>
      <c r="N23" s="56" t="str">
        <f aca="false">IF(N22="","",IF(N22+MIN(MOD(הגדרות!$D$19-WEEKDAY(N22)-1,7)+1,MOD(הגדרות!$D$20-WEEKDAY(N22)-1,7)+1)&gt;$N$2,"",N22+MIN(MOD(הגדרות!$D$19-WEEKDAY(N22)-1,7)+1,MOD(הגדרות!$D$20-WEEKDAY(N22)-1,7)+1)))</f>
        <v/>
      </c>
      <c r="O23" s="0" t="str">
        <f aca="false">IF(B23="","",IF(D23="בוטל בהתראה",0,IF(D23="בוטל ללא התראה",הגדרות!$C$30,1)))</f>
        <v/>
      </c>
    </row>
    <row r="24" customFormat="false" ht="21" hidden="false" customHeight="true" outlineLevel="0" collapsed="false">
      <c r="A24" s="35" t="str">
        <f aca="false">IF(B24="","",COUNT($B$15:B24))</f>
        <v/>
      </c>
      <c r="B24" s="36" t="str">
        <f aca="false">IF(N24="","",N24)</f>
        <v/>
      </c>
      <c r="C24" s="35" t="str">
        <f aca="false">IF(B24="","",INDEX(הגדרות!$F$5:$F$11,WEEKDAY(B24)))</f>
        <v/>
      </c>
      <c r="D24" s="37" t="s">
        <v>108</v>
      </c>
      <c r="E24" s="38" t="str">
        <f aca="false">IF(B24="","",הגדרות!$C$28)</f>
        <v/>
      </c>
      <c r="F24" s="38"/>
      <c r="G24" s="39" t="str">
        <f aca="false">IF(B24="","",IF(O24=0,0,MIN(הגדרות!$C$29,MAX(E24,F24))))</f>
        <v/>
      </c>
      <c r="H24" s="40" t="str">
        <f aca="false">IF(B24="","",O24*הגדרות!$C$26)</f>
        <v/>
      </c>
      <c r="I24" s="40" t="str">
        <f aca="false">IF(B24="","",O24*G24*הגדרות!$C$27)</f>
        <v/>
      </c>
      <c r="J24" s="41" t="str">
        <f aca="false">IF(B24="","",H24+I24)</f>
        <v/>
      </c>
      <c r="K24" s="42"/>
      <c r="L24" s="43"/>
      <c r="N24" s="56" t="str">
        <f aca="false">IF(N23="","",IF(N23+MIN(MOD(הגדרות!$D$19-WEEKDAY(N23)-1,7)+1,MOD(הגדרות!$D$20-WEEKDAY(N23)-1,7)+1)&gt;$N$2,"",N23+MIN(MOD(הגדרות!$D$19-WEEKDAY(N23)-1,7)+1,MOD(הגדרות!$D$20-WEEKDAY(N23)-1,7)+1)))</f>
        <v/>
      </c>
      <c r="O24" s="0" t="str">
        <f aca="false">IF(B24="","",IF(D24="בוטל בהתראה",0,IF(D24="בוטל ללא התראה",הגדרות!$C$30,1)))</f>
        <v/>
      </c>
    </row>
    <row r="25" customFormat="false" ht="21.75" hidden="false" customHeight="true" outlineLevel="0" collapsed="false">
      <c r="A25" s="45" t="s">
        <v>109</v>
      </c>
      <c r="B25" s="45"/>
      <c r="C25" s="45"/>
      <c r="D25" s="45"/>
      <c r="E25" s="45"/>
      <c r="F25" s="45"/>
      <c r="G25" s="46" t="n">
        <f aca="false">SUM(G15:G24)</f>
        <v>30</v>
      </c>
      <c r="H25" s="47" t="n">
        <f aca="false">SUM(H15:H24)</f>
        <v>6500</v>
      </c>
      <c r="I25" s="47" t="n">
        <f aca="false">SUM(I15:I24)</f>
        <v>3000</v>
      </c>
      <c r="J25" s="47" t="n">
        <f aca="false">SUM(J15:J24)</f>
        <v>9500</v>
      </c>
      <c r="K25" s="45"/>
      <c r="L25" s="47" t="n">
        <f aca="false">SUM(L15:L24)</f>
        <v>0</v>
      </c>
    </row>
    <row r="26" customFormat="false" ht="25.5" hidden="false" customHeight="true" outlineLevel="0" collapsed="false">
      <c r="A26" s="48" t="s">
        <v>110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8" customFormat="false" ht="19.5" hidden="false" customHeight="true" outlineLevel="0" collapsed="false">
      <c r="A28" s="49" t="s">
        <v>111</v>
      </c>
      <c r="B28" s="49"/>
      <c r="C28" s="49"/>
      <c r="D28" s="49"/>
      <c r="E28" s="49"/>
      <c r="F28" s="49"/>
      <c r="G28" s="49"/>
      <c r="H28" s="50" t="str">
        <f aca="false">"תשלום בסיסי ("&amp;COUNTIF(O15:O24,"&gt;0")&amp;" מפגשים)"</f>
        <v>תשלום בסיסי (5 מפגשים)</v>
      </c>
      <c r="I28" s="50"/>
      <c r="J28" s="50"/>
      <c r="K28" s="50"/>
      <c r="L28" s="40" t="n">
        <f aca="false">H25</f>
        <v>6500</v>
      </c>
    </row>
    <row r="29" customFormat="false" ht="39.75" hidden="false" customHeight="true" outlineLevel="0" collapsed="false">
      <c r="A29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29" s="51"/>
      <c r="C29" s="51"/>
      <c r="D29" s="51"/>
      <c r="E29" s="51"/>
      <c r="F29" s="51"/>
      <c r="G29" s="51"/>
      <c r="H29" s="50" t="str">
        <f aca="false">"תקציב עץ ("&amp;G25&amp;" משתתפים)"</f>
        <v>תקציב עץ (30 משתתפים)</v>
      </c>
      <c r="I29" s="50"/>
      <c r="J29" s="50"/>
      <c r="K29" s="50"/>
      <c r="L29" s="40" t="n">
        <f aca="false">I25</f>
        <v>3000</v>
      </c>
    </row>
    <row r="30" customFormat="false" ht="27.75" hidden="false" customHeight="true" outlineLevel="0" collapsed="false">
      <c r="A30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0" s="51"/>
      <c r="C30" s="51"/>
      <c r="D30" s="51"/>
      <c r="E30" s="51"/>
      <c r="F30" s="51"/>
      <c r="G30" s="51"/>
      <c r="H30" s="50" t="s">
        <v>112</v>
      </c>
      <c r="I30" s="50"/>
      <c r="J30" s="50"/>
      <c r="K30" s="50"/>
      <c r="L30" s="40" t="n">
        <f aca="false">L25</f>
        <v>0</v>
      </c>
    </row>
    <row r="31" customFormat="false" ht="19.5" hidden="false" customHeight="true" outlineLevel="0" collapsed="false">
      <c r="A31" s="51" t="str">
        <f aca="false">"• תקציב עץ: "&amp;TEXT(הגדרות!$C$27,"#,##0")&amp;" ₪ למשתתף."</f>
        <v>• תקציב עץ: 100 ₪ למשתתף.</v>
      </c>
      <c r="B31" s="51"/>
      <c r="C31" s="51"/>
      <c r="D31" s="51"/>
      <c r="E31" s="51"/>
      <c r="F31" s="51"/>
      <c r="G31" s="51"/>
      <c r="H31" s="52" t="s">
        <v>113</v>
      </c>
      <c r="I31" s="52"/>
      <c r="J31" s="52"/>
      <c r="K31" s="52"/>
      <c r="L31" s="41" t="n">
        <f aca="false">L28+L29+L30</f>
        <v>9500</v>
      </c>
    </row>
    <row r="32" customFormat="false" ht="19.5" hidden="false" customHeight="true" outlineLevel="0" collapsed="false">
      <c r="A32" s="51" t="str">
        <f aca="false">IF(הגדרות!$C$34="","","• "&amp;הגדרות!$C$34)</f>
        <v>• המחירים אינם כוללים מע״מ. מע״מ יתווסף כחוק.</v>
      </c>
      <c r="B32" s="51"/>
      <c r="C32" s="51"/>
      <c r="D32" s="51"/>
      <c r="E32" s="51"/>
      <c r="F32" s="51"/>
      <c r="G32" s="51"/>
      <c r="H32" s="50" t="str">
        <f aca="false">"מע״מ "&amp;ROUND(הגדרות!$C$31*100,1)&amp;"%"</f>
        <v>מע״מ 18%</v>
      </c>
      <c r="I32" s="50"/>
      <c r="J32" s="50"/>
      <c r="K32" s="50"/>
      <c r="L32" s="40" t="n">
        <f aca="false">ROUND(L31*הגדרות!$C$31,2)</f>
        <v>1710</v>
      </c>
    </row>
    <row r="33" customFormat="false" ht="27.75" hidden="false" customHeight="true" outlineLevel="0" collapsed="false">
      <c r="A33" s="51" t="str">
        <f aca="false">IF(הגדרות!$C$35="","","• "&amp;הגדרות!$C$35)</f>
        <v>• פרויקטים גדולים ומיוחדים מתומחרים בנפרד לפי עלות החומרים, באישור החווה.</v>
      </c>
      <c r="B33" s="51"/>
      <c r="C33" s="51"/>
      <c r="D33" s="51"/>
      <c r="E33" s="51"/>
      <c r="F33" s="51"/>
      <c r="G33" s="51"/>
      <c r="H33" s="53" t="s">
        <v>114</v>
      </c>
      <c r="I33" s="53"/>
      <c r="J33" s="53"/>
      <c r="K33" s="53"/>
      <c r="L33" s="54" t="n">
        <f aca="false">L31+L32</f>
        <v>11210</v>
      </c>
    </row>
    <row r="34" customFormat="false" ht="15" hidden="false" customHeight="false" outlineLevel="0" collapsed="false">
      <c r="A34" s="51" t="str">
        <f aca="false">IF(הגדרות!$C$36="","","• "&amp;הגדרות!$C$36)</f>
        <v/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9" t="s">
        <v>115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5.75" hidden="false" customHeight="true" outlineLevel="0" collapsed="false">
      <c r="A36" s="51" t="str">
        <f aca="false">"• "&amp;הגדרות!$C$39</f>
        <v>• ביטול מלא של הסדנא: ביטול של עד 48 שעות לפני מועד הסדנא – ללא חיוב.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customFormat="false" ht="15.75" hidden="false" customHeight="true" outlineLevel="0" collapsed="false">
      <c r="A37" s="51" t="str">
        <f aca="false">"• "&amp;הגדרות!$C$40</f>
        <v>• מספר המשתתפים: הסדנא מתוכננת ומוכנה מראש בהתאם למספר המשתתפים שסוכם, עד 6 משתתפים.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15.75" hidden="false" customHeight="true" outlineLevel="0" collapsed="false">
      <c r="A38" s="51" t="str">
        <f aca="false">"• "&amp;הגדרות!$C$41</f>
        <v>• הפחתת מספר המשתתפים: יש לעדכן על שינוי במספר המשתתפים עד 24 שעות לפני הסדנא.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5.5" hidden="false" customHeight="true" outlineLevel="0" collapsed="false">
      <c r="A39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2" customFormat="false" ht="15" hidden="false" customHeight="false" outlineLevel="0" collapsed="false">
      <c r="A42" s="55" t="str">
        <f aca="false">"בברכה, "&amp;הגדרות!$C$6</f>
        <v>בברכה, (למילוי)</v>
      </c>
      <c r="B42" s="55"/>
      <c r="C42" s="55"/>
      <c r="D42" s="55"/>
      <c r="E42" s="55"/>
      <c r="H42" s="55" t="s">
        <v>116</v>
      </c>
      <c r="I42" s="55"/>
      <c r="J42" s="55"/>
      <c r="K42" s="55"/>
      <c r="L42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25:F25"/>
    <mergeCell ref="A26:L26"/>
    <mergeCell ref="A28:G28"/>
    <mergeCell ref="H28:K28"/>
    <mergeCell ref="A29:G29"/>
    <mergeCell ref="H29:K29"/>
    <mergeCell ref="A30:G30"/>
    <mergeCell ref="H30:K30"/>
    <mergeCell ref="A31:G31"/>
    <mergeCell ref="H31:K31"/>
    <mergeCell ref="A32:G32"/>
    <mergeCell ref="H32:K32"/>
    <mergeCell ref="A33:G33"/>
    <mergeCell ref="H33:K33"/>
    <mergeCell ref="A34:G34"/>
    <mergeCell ref="A35:L35"/>
    <mergeCell ref="A36:L36"/>
    <mergeCell ref="A37:L37"/>
    <mergeCell ref="A38:L38"/>
    <mergeCell ref="A39:L39"/>
    <mergeCell ref="A42:E42"/>
    <mergeCell ref="H42:L42"/>
  </mergeCells>
  <conditionalFormatting sqref="D15:D24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24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24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24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24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56" t="n">
        <f aca="false">DATE(YEAR($I$11),MONTH($I$11),1)</f>
        <v>46478</v>
      </c>
    </row>
    <row r="2" customFormat="false" ht="24" hidden="false" customHeight="true" outlineLevel="0" collapsed="false">
      <c r="A2" s="25" t="str">
        <f aca="false">הגדרות!$C$17&amp;" · "&amp;"מפגש שבועי בימי "&amp;הגדרות!$C$19&amp;IF(הגדרות!$C$20="",""," ו"&amp;הגדרות!$C$20)&amp;IF(הגדרות!$C$18="",""," ("&amp;הגדרות!$C$18&amp;")")&amp;" · "&amp;CHOOSE(MONTH($N$1),"ינואר","פברואר","מרץ","אפריל","מאי","יוני","יולי","אוגוסט","ספטמבר","אוקטובר","נובמבר","דצמבר")&amp;" "&amp;YEAR($N$1)</f>
        <v>תכנית חוסן · מפגש שבועי בימי רביעי (הוותיקה) · אפריל 2027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N2" s="56" t="n">
        <f aca="false">EOMONTH($N$1,0)</f>
        <v>46507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tr">
        <f aca="false">"חוסן-"&amp;YEAR($N$1)&amp;"-"&amp;TEXT(MONTH($N$1),"00")</f>
        <v>חוסן-2027-04</v>
      </c>
      <c r="D11" s="28"/>
      <c r="E11" s="28"/>
      <c r="G11" s="27" t="s">
        <v>117</v>
      </c>
      <c r="H11" s="27"/>
      <c r="I11" s="57" t="n">
        <v>46478</v>
      </c>
      <c r="J11" s="57"/>
      <c r="K11" s="57"/>
      <c r="L11" s="57"/>
    </row>
    <row r="12" customFormat="false" ht="15" hidden="false" customHeight="false" outlineLevel="0" collapsed="false">
      <c r="A12" s="27" t="s">
        <v>96</v>
      </c>
      <c r="B12" s="27"/>
      <c r="C12" s="58" t="n">
        <f aca="false">$N$2</f>
        <v>46507</v>
      </c>
      <c r="D12" s="58"/>
      <c r="E12" s="58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f aca="false">IF(N15="","",N15)</f>
        <v>46484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N15" s="56" t="n">
        <f aca="false">$N$1+MIN(MOD(הגדרות!$D$19-WEEKDAY($N$1),7),MOD(הגדרות!$D$20-WEEKDAY($N$1),7))</f>
        <v>46484</v>
      </c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f aca="false">IF(N16="","",N16)</f>
        <v>46491</v>
      </c>
      <c r="C16" s="35" t="str">
        <f aca="false">IF(B16="","",INDEX(הגדרות!$F$5:$F$11,WEEKDAY(B16)))</f>
        <v>רביעי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N16" s="56" t="n">
        <f aca="false">IF(N15="","",IF(N15+MIN(MOD(הגדרות!$D$19-WEEKDAY(N15)-1,7)+1,MOD(הגדרות!$D$20-WEEKDAY(N15)-1,7)+1)&gt;$N$2,"",N15+MIN(MOD(הגדרות!$D$19-WEEKDAY(N15)-1,7)+1,MOD(הגדרות!$D$20-WEEKDAY(N15)-1,7)+1)))</f>
        <v>46491</v>
      </c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f aca="false">IF(N17="","",N17)</f>
        <v>46498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N17" s="56" t="n">
        <f aca="false">IF(N16="","",IF(N16+MIN(MOD(הגדרות!$D$19-WEEKDAY(N16)-1,7)+1,MOD(הגדרות!$D$20-WEEKDAY(N16)-1,7)+1)&gt;$N$2,"",N16+MIN(MOD(הגדרות!$D$19-WEEKDAY(N16)-1,7)+1,MOD(הגדרות!$D$20-WEEKDAY(N16)-1,7)+1)))</f>
        <v>46498</v>
      </c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f aca="false">IF(N18="","",N18)</f>
        <v>46505</v>
      </c>
      <c r="C18" s="35" t="str">
        <f aca="false">IF(B18="","",INDEX(הגדרות!$F$5:$F$11,WEEKDAY(B18)))</f>
        <v>רביעי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N18" s="56" t="n">
        <f aca="false">IF(N17="","",IF(N17+MIN(MOD(הגדרות!$D$19-WEEKDAY(N17)-1,7)+1,MOD(הגדרות!$D$20-WEEKDAY(N17)-1,7)+1)&gt;$N$2,"",N17+MIN(MOD(הגדרות!$D$19-WEEKDAY(N17)-1,7)+1,MOD(הגדרות!$D$20-WEEKDAY(N17)-1,7)+1)))</f>
        <v>46505</v>
      </c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str">
        <f aca="false">IF(B19="","",COUNT($B$15:B19))</f>
        <v/>
      </c>
      <c r="B19" s="36" t="str">
        <f aca="false">IF(N19="","",N19)</f>
        <v/>
      </c>
      <c r="C19" s="35" t="str">
        <f aca="false">IF(B19="","",INDEX(הגדרות!$F$5:$F$11,WEEKDAY(B19)))</f>
        <v/>
      </c>
      <c r="D19" s="37" t="s">
        <v>108</v>
      </c>
      <c r="E19" s="38" t="str">
        <f aca="false">IF(B19="","",הגדרות!$C$28)</f>
        <v/>
      </c>
      <c r="F19" s="38"/>
      <c r="G19" s="39" t="str">
        <f aca="false">IF(B19="","",IF(O19=0,0,MIN(הגדרות!$C$29,MAX(E19,F19))))</f>
        <v/>
      </c>
      <c r="H19" s="40" t="str">
        <f aca="false">IF(B19="","",O19*הגדרות!$C$26)</f>
        <v/>
      </c>
      <c r="I19" s="40" t="str">
        <f aca="false">IF(B19="","",O19*G19*הגדרות!$C$27)</f>
        <v/>
      </c>
      <c r="J19" s="41" t="str">
        <f aca="false">IF(B19="","",H19+I19)</f>
        <v/>
      </c>
      <c r="K19" s="42"/>
      <c r="L19" s="43"/>
      <c r="N19" s="56" t="str">
        <f aca="false">IF(N18="","",IF(N18+MIN(MOD(הגדרות!$D$19-WEEKDAY(N18)-1,7)+1,MOD(הגדרות!$D$20-WEEKDAY(N18)-1,7)+1)&gt;$N$2,"",N18+MIN(MOD(הגדרות!$D$19-WEEKDAY(N18)-1,7)+1,MOD(הגדרות!$D$20-WEEKDAY(N18)-1,7)+1)))</f>
        <v/>
      </c>
      <c r="O19" s="0" t="str">
        <f aca="false">IF(B19="","",IF(D19="בוטל בהתראה",0,IF(D19="בוטל ללא התראה",הגדרות!$C$30,1)))</f>
        <v/>
      </c>
    </row>
    <row r="20" customFormat="false" ht="21" hidden="false" customHeight="true" outlineLevel="0" collapsed="false">
      <c r="A20" s="35" t="str">
        <f aca="false">IF(B20="","",COUNT($B$15:B20))</f>
        <v/>
      </c>
      <c r="B20" s="36" t="str">
        <f aca="false">IF(N20="","",N20)</f>
        <v/>
      </c>
      <c r="C20" s="35" t="str">
        <f aca="false">IF(B20="","",INDEX(הגדרות!$F$5:$F$11,WEEKDAY(B20)))</f>
        <v/>
      </c>
      <c r="D20" s="37" t="s">
        <v>108</v>
      </c>
      <c r="E20" s="38" t="str">
        <f aca="false">IF(B20="","",הגדרות!$C$28)</f>
        <v/>
      </c>
      <c r="F20" s="38"/>
      <c r="G20" s="39" t="str">
        <f aca="false">IF(B20="","",IF(O20=0,0,MIN(הגדרות!$C$29,MAX(E20,F20))))</f>
        <v/>
      </c>
      <c r="H20" s="40" t="str">
        <f aca="false">IF(B20="","",O20*הגדרות!$C$26)</f>
        <v/>
      </c>
      <c r="I20" s="40" t="str">
        <f aca="false">IF(B20="","",O20*G20*הגדרות!$C$27)</f>
        <v/>
      </c>
      <c r="J20" s="41" t="str">
        <f aca="false">IF(B20="","",H20+I20)</f>
        <v/>
      </c>
      <c r="K20" s="42"/>
      <c r="L20" s="43"/>
      <c r="N20" s="56" t="str">
        <f aca="false">IF(N19="","",IF(N19+MIN(MOD(הגדרות!$D$19-WEEKDAY(N19)-1,7)+1,MOD(הגדרות!$D$20-WEEKDAY(N19)-1,7)+1)&gt;$N$2,"",N19+MIN(MOD(הגדרות!$D$19-WEEKDAY(N19)-1,7)+1,MOD(הגדרות!$D$20-WEEKDAY(N19)-1,7)+1)))</f>
        <v/>
      </c>
      <c r="O20" s="0" t="str">
        <f aca="false">IF(B20="","",IF(D20="בוטל בהתראה",0,IF(D20="בוטל ללא התראה",הגדרות!$C$30,1)))</f>
        <v/>
      </c>
    </row>
    <row r="21" customFormat="false" ht="21" hidden="false" customHeight="true" outlineLevel="0" collapsed="false">
      <c r="A21" s="35" t="str">
        <f aca="false">IF(B21="","",COUNT($B$15:B21))</f>
        <v/>
      </c>
      <c r="B21" s="36" t="str">
        <f aca="false">IF(N21="","",N21)</f>
        <v/>
      </c>
      <c r="C21" s="35" t="str">
        <f aca="false">IF(B21="","",INDEX(הגדרות!$F$5:$F$11,WEEKDAY(B21)))</f>
        <v/>
      </c>
      <c r="D21" s="37" t="s">
        <v>108</v>
      </c>
      <c r="E21" s="38" t="str">
        <f aca="false">IF(B21="","",הגדרות!$C$28)</f>
        <v/>
      </c>
      <c r="F21" s="38"/>
      <c r="G21" s="39" t="str">
        <f aca="false">IF(B21="","",IF(O21=0,0,MIN(הגדרות!$C$29,MAX(E21,F21))))</f>
        <v/>
      </c>
      <c r="H21" s="40" t="str">
        <f aca="false">IF(B21="","",O21*הגדרות!$C$26)</f>
        <v/>
      </c>
      <c r="I21" s="40" t="str">
        <f aca="false">IF(B21="","",O21*G21*הגדרות!$C$27)</f>
        <v/>
      </c>
      <c r="J21" s="41" t="str">
        <f aca="false">IF(B21="","",H21+I21)</f>
        <v/>
      </c>
      <c r="K21" s="42"/>
      <c r="L21" s="43"/>
      <c r="N21" s="56" t="str">
        <f aca="false">IF(N20="","",IF(N20+MIN(MOD(הגדרות!$D$19-WEEKDAY(N20)-1,7)+1,MOD(הגדרות!$D$20-WEEKDAY(N20)-1,7)+1)&gt;$N$2,"",N20+MIN(MOD(הגדרות!$D$19-WEEKDAY(N20)-1,7)+1,MOD(הגדרות!$D$20-WEEKDAY(N20)-1,7)+1)))</f>
        <v/>
      </c>
      <c r="O21" s="0" t="str">
        <f aca="false">IF(B21="","",IF(D21="בוטל בהתראה",0,IF(D21="בוטל ללא התראה",הגדרות!$C$30,1)))</f>
        <v/>
      </c>
    </row>
    <row r="22" customFormat="false" ht="21" hidden="false" customHeight="true" outlineLevel="0" collapsed="false">
      <c r="A22" s="35" t="str">
        <f aca="false">IF(B22="","",COUNT($B$15:B22))</f>
        <v/>
      </c>
      <c r="B22" s="36" t="str">
        <f aca="false">IF(N22="","",N22)</f>
        <v/>
      </c>
      <c r="C22" s="35" t="str">
        <f aca="false">IF(B22="","",INDEX(הגדרות!$F$5:$F$11,WEEKDAY(B22)))</f>
        <v/>
      </c>
      <c r="D22" s="37" t="s">
        <v>108</v>
      </c>
      <c r="E22" s="38" t="str">
        <f aca="false">IF(B22="","",הגדרות!$C$28)</f>
        <v/>
      </c>
      <c r="F22" s="38"/>
      <c r="G22" s="39" t="str">
        <f aca="false">IF(B22="","",IF(O22=0,0,MIN(הגדרות!$C$29,MAX(E22,F22))))</f>
        <v/>
      </c>
      <c r="H22" s="40" t="str">
        <f aca="false">IF(B22="","",O22*הגדרות!$C$26)</f>
        <v/>
      </c>
      <c r="I22" s="40" t="str">
        <f aca="false">IF(B22="","",O22*G22*הגדרות!$C$27)</f>
        <v/>
      </c>
      <c r="J22" s="41" t="str">
        <f aca="false">IF(B22="","",H22+I22)</f>
        <v/>
      </c>
      <c r="K22" s="42"/>
      <c r="L22" s="43"/>
      <c r="N22" s="56" t="str">
        <f aca="false">IF(N21="","",IF(N21+MIN(MOD(הגדרות!$D$19-WEEKDAY(N21)-1,7)+1,MOD(הגדרות!$D$20-WEEKDAY(N21)-1,7)+1)&gt;$N$2,"",N21+MIN(MOD(הגדרות!$D$19-WEEKDAY(N21)-1,7)+1,MOD(הגדרות!$D$20-WEEKDAY(N21)-1,7)+1)))</f>
        <v/>
      </c>
      <c r="O22" s="0" t="str">
        <f aca="false">IF(B22="","",IF(D22="בוטל בהתראה",0,IF(D22="בוטל ללא התראה",הגדרות!$C$30,1)))</f>
        <v/>
      </c>
    </row>
    <row r="23" customFormat="false" ht="21" hidden="false" customHeight="true" outlineLevel="0" collapsed="false">
      <c r="A23" s="35" t="str">
        <f aca="false">IF(B23="","",COUNT($B$15:B23))</f>
        <v/>
      </c>
      <c r="B23" s="36" t="str">
        <f aca="false">IF(N23="","",N23)</f>
        <v/>
      </c>
      <c r="C23" s="35" t="str">
        <f aca="false">IF(B23="","",INDEX(הגדרות!$F$5:$F$11,WEEKDAY(B23)))</f>
        <v/>
      </c>
      <c r="D23" s="37" t="s">
        <v>108</v>
      </c>
      <c r="E23" s="38" t="str">
        <f aca="false">IF(B23="","",הגדרות!$C$28)</f>
        <v/>
      </c>
      <c r="F23" s="38"/>
      <c r="G23" s="39" t="str">
        <f aca="false">IF(B23="","",IF(O23=0,0,MIN(הגדרות!$C$29,MAX(E23,F23))))</f>
        <v/>
      </c>
      <c r="H23" s="40" t="str">
        <f aca="false">IF(B23="","",O23*הגדרות!$C$26)</f>
        <v/>
      </c>
      <c r="I23" s="40" t="str">
        <f aca="false">IF(B23="","",O23*G23*הגדרות!$C$27)</f>
        <v/>
      </c>
      <c r="J23" s="41" t="str">
        <f aca="false">IF(B23="","",H23+I23)</f>
        <v/>
      </c>
      <c r="K23" s="42"/>
      <c r="L23" s="43"/>
      <c r="N23" s="56" t="str">
        <f aca="false">IF(N22="","",IF(N22+MIN(MOD(הגדרות!$D$19-WEEKDAY(N22)-1,7)+1,MOD(הגדרות!$D$20-WEEKDAY(N22)-1,7)+1)&gt;$N$2,"",N22+MIN(MOD(הגדרות!$D$19-WEEKDAY(N22)-1,7)+1,MOD(הגדרות!$D$20-WEEKDAY(N22)-1,7)+1)))</f>
        <v/>
      </c>
      <c r="O23" s="0" t="str">
        <f aca="false">IF(B23="","",IF(D23="בוטל בהתראה",0,IF(D23="בוטל ללא התראה",הגדרות!$C$30,1)))</f>
        <v/>
      </c>
    </row>
    <row r="24" customFormat="false" ht="21" hidden="false" customHeight="true" outlineLevel="0" collapsed="false">
      <c r="A24" s="35" t="str">
        <f aca="false">IF(B24="","",COUNT($B$15:B24))</f>
        <v/>
      </c>
      <c r="B24" s="36" t="str">
        <f aca="false">IF(N24="","",N24)</f>
        <v/>
      </c>
      <c r="C24" s="35" t="str">
        <f aca="false">IF(B24="","",INDEX(הגדרות!$F$5:$F$11,WEEKDAY(B24)))</f>
        <v/>
      </c>
      <c r="D24" s="37" t="s">
        <v>108</v>
      </c>
      <c r="E24" s="38" t="str">
        <f aca="false">IF(B24="","",הגדרות!$C$28)</f>
        <v/>
      </c>
      <c r="F24" s="38"/>
      <c r="G24" s="39" t="str">
        <f aca="false">IF(B24="","",IF(O24=0,0,MIN(הגדרות!$C$29,MAX(E24,F24))))</f>
        <v/>
      </c>
      <c r="H24" s="40" t="str">
        <f aca="false">IF(B24="","",O24*הגדרות!$C$26)</f>
        <v/>
      </c>
      <c r="I24" s="40" t="str">
        <f aca="false">IF(B24="","",O24*G24*הגדרות!$C$27)</f>
        <v/>
      </c>
      <c r="J24" s="41" t="str">
        <f aca="false">IF(B24="","",H24+I24)</f>
        <v/>
      </c>
      <c r="K24" s="42"/>
      <c r="L24" s="43"/>
      <c r="N24" s="56" t="str">
        <f aca="false">IF(N23="","",IF(N23+MIN(MOD(הגדרות!$D$19-WEEKDAY(N23)-1,7)+1,MOD(הגדרות!$D$20-WEEKDAY(N23)-1,7)+1)&gt;$N$2,"",N23+MIN(MOD(הגדרות!$D$19-WEEKDAY(N23)-1,7)+1,MOD(הגדרות!$D$20-WEEKDAY(N23)-1,7)+1)))</f>
        <v/>
      </c>
      <c r="O24" s="0" t="str">
        <f aca="false">IF(B24="","",IF(D24="בוטל בהתראה",0,IF(D24="בוטל ללא התראה",הגדרות!$C$30,1)))</f>
        <v/>
      </c>
    </row>
    <row r="25" customFormat="false" ht="21.75" hidden="false" customHeight="true" outlineLevel="0" collapsed="false">
      <c r="A25" s="45" t="s">
        <v>109</v>
      </c>
      <c r="B25" s="45"/>
      <c r="C25" s="45"/>
      <c r="D25" s="45"/>
      <c r="E25" s="45"/>
      <c r="F25" s="45"/>
      <c r="G25" s="46" t="n">
        <f aca="false">SUM(G15:G24)</f>
        <v>24</v>
      </c>
      <c r="H25" s="47" t="n">
        <f aca="false">SUM(H15:H24)</f>
        <v>5200</v>
      </c>
      <c r="I25" s="47" t="n">
        <f aca="false">SUM(I15:I24)</f>
        <v>2400</v>
      </c>
      <c r="J25" s="47" t="n">
        <f aca="false">SUM(J15:J24)</f>
        <v>7600</v>
      </c>
      <c r="K25" s="45"/>
      <c r="L25" s="47" t="n">
        <f aca="false">SUM(L15:L24)</f>
        <v>0</v>
      </c>
    </row>
    <row r="26" customFormat="false" ht="25.5" hidden="false" customHeight="true" outlineLevel="0" collapsed="false">
      <c r="A26" s="48" t="s">
        <v>110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8" customFormat="false" ht="19.5" hidden="false" customHeight="true" outlineLevel="0" collapsed="false">
      <c r="A28" s="49" t="s">
        <v>111</v>
      </c>
      <c r="B28" s="49"/>
      <c r="C28" s="49"/>
      <c r="D28" s="49"/>
      <c r="E28" s="49"/>
      <c r="F28" s="49"/>
      <c r="G28" s="49"/>
      <c r="H28" s="50" t="str">
        <f aca="false">"תשלום בסיסי ("&amp;COUNTIF(O15:O24,"&gt;0")&amp;" מפגשים)"</f>
        <v>תשלום בסיסי (4 מפגשים)</v>
      </c>
      <c r="I28" s="50"/>
      <c r="J28" s="50"/>
      <c r="K28" s="50"/>
      <c r="L28" s="40" t="n">
        <f aca="false">H25</f>
        <v>5200</v>
      </c>
    </row>
    <row r="29" customFormat="false" ht="39.75" hidden="false" customHeight="true" outlineLevel="0" collapsed="false">
      <c r="A29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29" s="51"/>
      <c r="C29" s="51"/>
      <c r="D29" s="51"/>
      <c r="E29" s="51"/>
      <c r="F29" s="51"/>
      <c r="G29" s="51"/>
      <c r="H29" s="50" t="str">
        <f aca="false">"תקציב עץ ("&amp;G25&amp;" משתתפים)"</f>
        <v>תקציב עץ (24 משתתפים)</v>
      </c>
      <c r="I29" s="50"/>
      <c r="J29" s="50"/>
      <c r="K29" s="50"/>
      <c r="L29" s="40" t="n">
        <f aca="false">I25</f>
        <v>2400</v>
      </c>
    </row>
    <row r="30" customFormat="false" ht="27.75" hidden="false" customHeight="true" outlineLevel="0" collapsed="false">
      <c r="A30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0" s="51"/>
      <c r="C30" s="51"/>
      <c r="D30" s="51"/>
      <c r="E30" s="51"/>
      <c r="F30" s="51"/>
      <c r="G30" s="51"/>
      <c r="H30" s="50" t="s">
        <v>112</v>
      </c>
      <c r="I30" s="50"/>
      <c r="J30" s="50"/>
      <c r="K30" s="50"/>
      <c r="L30" s="40" t="n">
        <f aca="false">L25</f>
        <v>0</v>
      </c>
    </row>
    <row r="31" customFormat="false" ht="19.5" hidden="false" customHeight="true" outlineLevel="0" collapsed="false">
      <c r="A31" s="51" t="str">
        <f aca="false">"• תקציב עץ: "&amp;TEXT(הגדרות!$C$27,"#,##0")&amp;" ₪ למשתתף."</f>
        <v>• תקציב עץ: 100 ₪ למשתתף.</v>
      </c>
      <c r="B31" s="51"/>
      <c r="C31" s="51"/>
      <c r="D31" s="51"/>
      <c r="E31" s="51"/>
      <c r="F31" s="51"/>
      <c r="G31" s="51"/>
      <c r="H31" s="52" t="s">
        <v>113</v>
      </c>
      <c r="I31" s="52"/>
      <c r="J31" s="52"/>
      <c r="K31" s="52"/>
      <c r="L31" s="41" t="n">
        <f aca="false">L28+L29+L30</f>
        <v>7600</v>
      </c>
    </row>
    <row r="32" customFormat="false" ht="19.5" hidden="false" customHeight="true" outlineLevel="0" collapsed="false">
      <c r="A32" s="51" t="str">
        <f aca="false">IF(הגדרות!$C$34="","","• "&amp;הגדרות!$C$34)</f>
        <v>• המחירים אינם כוללים מע״מ. מע״מ יתווסף כחוק.</v>
      </c>
      <c r="B32" s="51"/>
      <c r="C32" s="51"/>
      <c r="D32" s="51"/>
      <c r="E32" s="51"/>
      <c r="F32" s="51"/>
      <c r="G32" s="51"/>
      <c r="H32" s="50" t="str">
        <f aca="false">"מע״מ "&amp;ROUND(הגדרות!$C$31*100,1)&amp;"%"</f>
        <v>מע״מ 18%</v>
      </c>
      <c r="I32" s="50"/>
      <c r="J32" s="50"/>
      <c r="K32" s="50"/>
      <c r="L32" s="40" t="n">
        <f aca="false">ROUND(L31*הגדרות!$C$31,2)</f>
        <v>1368</v>
      </c>
    </row>
    <row r="33" customFormat="false" ht="27.75" hidden="false" customHeight="true" outlineLevel="0" collapsed="false">
      <c r="A33" s="51" t="str">
        <f aca="false">IF(הגדרות!$C$35="","","• "&amp;הגדרות!$C$35)</f>
        <v>• פרויקטים גדולים ומיוחדים מתומחרים בנפרד לפי עלות החומרים, באישור החווה.</v>
      </c>
      <c r="B33" s="51"/>
      <c r="C33" s="51"/>
      <c r="D33" s="51"/>
      <c r="E33" s="51"/>
      <c r="F33" s="51"/>
      <c r="G33" s="51"/>
      <c r="H33" s="53" t="s">
        <v>114</v>
      </c>
      <c r="I33" s="53"/>
      <c r="J33" s="53"/>
      <c r="K33" s="53"/>
      <c r="L33" s="54" t="n">
        <f aca="false">L31+L32</f>
        <v>8968</v>
      </c>
    </row>
    <row r="34" customFormat="false" ht="15" hidden="false" customHeight="false" outlineLevel="0" collapsed="false">
      <c r="A34" s="51" t="str">
        <f aca="false">IF(הגדרות!$C$36="","","• "&amp;הגדרות!$C$36)</f>
        <v/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9" t="s">
        <v>115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5.75" hidden="false" customHeight="true" outlineLevel="0" collapsed="false">
      <c r="A36" s="51" t="str">
        <f aca="false">"• "&amp;הגדרות!$C$39</f>
        <v>• ביטול מלא של הסדנא: ביטול של עד 48 שעות לפני מועד הסדנא – ללא חיוב.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customFormat="false" ht="15.75" hidden="false" customHeight="true" outlineLevel="0" collapsed="false">
      <c r="A37" s="51" t="str">
        <f aca="false">"• "&amp;הגדרות!$C$40</f>
        <v>• מספר המשתתפים: הסדנא מתוכננת ומוכנה מראש בהתאם למספר המשתתפים שסוכם, עד 6 משתתפים.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15.75" hidden="false" customHeight="true" outlineLevel="0" collapsed="false">
      <c r="A38" s="51" t="str">
        <f aca="false">"• "&amp;הגדרות!$C$41</f>
        <v>• הפחתת מספר המשתתפים: יש לעדכן על שינוי במספר המשתתפים עד 24 שעות לפני הסדנא.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5.5" hidden="false" customHeight="true" outlineLevel="0" collapsed="false">
      <c r="A39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2" customFormat="false" ht="15" hidden="false" customHeight="false" outlineLevel="0" collapsed="false">
      <c r="A42" s="55" t="str">
        <f aca="false">"בברכה, "&amp;הגדרות!$C$6</f>
        <v>בברכה, (למילוי)</v>
      </c>
      <c r="B42" s="55"/>
      <c r="C42" s="55"/>
      <c r="D42" s="55"/>
      <c r="E42" s="55"/>
      <c r="H42" s="55" t="s">
        <v>116</v>
      </c>
      <c r="I42" s="55"/>
      <c r="J42" s="55"/>
      <c r="K42" s="55"/>
      <c r="L42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25:F25"/>
    <mergeCell ref="A26:L26"/>
    <mergeCell ref="A28:G28"/>
    <mergeCell ref="H28:K28"/>
    <mergeCell ref="A29:G29"/>
    <mergeCell ref="H29:K29"/>
    <mergeCell ref="A30:G30"/>
    <mergeCell ref="H30:K30"/>
    <mergeCell ref="A31:G31"/>
    <mergeCell ref="H31:K31"/>
    <mergeCell ref="A32:G32"/>
    <mergeCell ref="H32:K32"/>
    <mergeCell ref="A33:G33"/>
    <mergeCell ref="H33:K33"/>
    <mergeCell ref="A34:G34"/>
    <mergeCell ref="A35:L35"/>
    <mergeCell ref="A36:L36"/>
    <mergeCell ref="A37:L37"/>
    <mergeCell ref="A38:L38"/>
    <mergeCell ref="A39:L39"/>
    <mergeCell ref="A42:E42"/>
    <mergeCell ref="H42:L42"/>
  </mergeCells>
  <conditionalFormatting sqref="D15:D24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24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24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24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24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56" t="n">
        <f aca="false">DATE(YEAR($I$11),MONTH($I$11),1)</f>
        <v>46508</v>
      </c>
    </row>
    <row r="2" customFormat="false" ht="24" hidden="false" customHeight="true" outlineLevel="0" collapsed="false">
      <c r="A2" s="25" t="str">
        <f aca="false">הגדרות!$C$17&amp;" · "&amp;"מפגש שבועי בימי "&amp;הגדרות!$C$19&amp;IF(הגדרות!$C$20="",""," ו"&amp;הגדרות!$C$20)&amp;IF(הגדרות!$C$18="",""," ("&amp;הגדרות!$C$18&amp;")")&amp;" · "&amp;CHOOSE(MONTH($N$1),"ינואר","פברואר","מרץ","אפריל","מאי","יוני","יולי","אוגוסט","ספטמבר","אוקטובר","נובמבר","דצמבר")&amp;" "&amp;YEAR($N$1)</f>
        <v>תכנית חוסן · מפגש שבועי בימי רביעי (הוותיקה) · מאי 2027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N2" s="56" t="n">
        <f aca="false">EOMONTH($N$1,0)</f>
        <v>46538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tr">
        <f aca="false">"חוסן-"&amp;YEAR($N$1)&amp;"-"&amp;TEXT(MONTH($N$1),"00")</f>
        <v>חוסן-2027-05</v>
      </c>
      <c r="D11" s="28"/>
      <c r="E11" s="28"/>
      <c r="G11" s="27" t="s">
        <v>117</v>
      </c>
      <c r="H11" s="27"/>
      <c r="I11" s="57" t="n">
        <v>46508</v>
      </c>
      <c r="J11" s="57"/>
      <c r="K11" s="57"/>
      <c r="L11" s="57"/>
    </row>
    <row r="12" customFormat="false" ht="15" hidden="false" customHeight="false" outlineLevel="0" collapsed="false">
      <c r="A12" s="27" t="s">
        <v>96</v>
      </c>
      <c r="B12" s="27"/>
      <c r="C12" s="58" t="n">
        <f aca="false">$N$2</f>
        <v>46538</v>
      </c>
      <c r="D12" s="58"/>
      <c r="E12" s="58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f aca="false">IF(N15="","",N15)</f>
        <v>46512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N15" s="56" t="n">
        <f aca="false">$N$1+MIN(MOD(הגדרות!$D$19-WEEKDAY($N$1),7),MOD(הגדרות!$D$20-WEEKDAY($N$1),7))</f>
        <v>46512</v>
      </c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f aca="false">IF(N16="","",N16)</f>
        <v>46519</v>
      </c>
      <c r="C16" s="35" t="str">
        <f aca="false">IF(B16="","",INDEX(הגדרות!$F$5:$F$11,WEEKDAY(B16)))</f>
        <v>רביעי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N16" s="56" t="n">
        <f aca="false">IF(N15="","",IF(N15+MIN(MOD(הגדרות!$D$19-WEEKDAY(N15)-1,7)+1,MOD(הגדרות!$D$20-WEEKDAY(N15)-1,7)+1)&gt;$N$2,"",N15+MIN(MOD(הגדרות!$D$19-WEEKDAY(N15)-1,7)+1,MOD(הגדרות!$D$20-WEEKDAY(N15)-1,7)+1)))</f>
        <v>46519</v>
      </c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f aca="false">IF(N17="","",N17)</f>
        <v>46526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N17" s="56" t="n">
        <f aca="false">IF(N16="","",IF(N16+MIN(MOD(הגדרות!$D$19-WEEKDAY(N16)-1,7)+1,MOD(הגדרות!$D$20-WEEKDAY(N16)-1,7)+1)&gt;$N$2,"",N16+MIN(MOD(הגדרות!$D$19-WEEKDAY(N16)-1,7)+1,MOD(הגדרות!$D$20-WEEKDAY(N16)-1,7)+1)))</f>
        <v>46526</v>
      </c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f aca="false">IF(N18="","",N18)</f>
        <v>46533</v>
      </c>
      <c r="C18" s="35" t="str">
        <f aca="false">IF(B18="","",INDEX(הגדרות!$F$5:$F$11,WEEKDAY(B18)))</f>
        <v>רביעי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N18" s="56" t="n">
        <f aca="false">IF(N17="","",IF(N17+MIN(MOD(הגדרות!$D$19-WEEKDAY(N17)-1,7)+1,MOD(הגדרות!$D$20-WEEKDAY(N17)-1,7)+1)&gt;$N$2,"",N17+MIN(MOD(הגדרות!$D$19-WEEKDAY(N17)-1,7)+1,MOD(הגדרות!$D$20-WEEKDAY(N17)-1,7)+1)))</f>
        <v>46533</v>
      </c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str">
        <f aca="false">IF(B19="","",COUNT($B$15:B19))</f>
        <v/>
      </c>
      <c r="B19" s="36" t="str">
        <f aca="false">IF(N19="","",N19)</f>
        <v/>
      </c>
      <c r="C19" s="35" t="str">
        <f aca="false">IF(B19="","",INDEX(הגדרות!$F$5:$F$11,WEEKDAY(B19)))</f>
        <v/>
      </c>
      <c r="D19" s="37" t="s">
        <v>108</v>
      </c>
      <c r="E19" s="38" t="str">
        <f aca="false">IF(B19="","",הגדרות!$C$28)</f>
        <v/>
      </c>
      <c r="F19" s="38"/>
      <c r="G19" s="39" t="str">
        <f aca="false">IF(B19="","",IF(O19=0,0,MIN(הגדרות!$C$29,MAX(E19,F19))))</f>
        <v/>
      </c>
      <c r="H19" s="40" t="str">
        <f aca="false">IF(B19="","",O19*הגדרות!$C$26)</f>
        <v/>
      </c>
      <c r="I19" s="40" t="str">
        <f aca="false">IF(B19="","",O19*G19*הגדרות!$C$27)</f>
        <v/>
      </c>
      <c r="J19" s="41" t="str">
        <f aca="false">IF(B19="","",H19+I19)</f>
        <v/>
      </c>
      <c r="K19" s="42"/>
      <c r="L19" s="43"/>
      <c r="N19" s="56" t="str">
        <f aca="false">IF(N18="","",IF(N18+MIN(MOD(הגדרות!$D$19-WEEKDAY(N18)-1,7)+1,MOD(הגדרות!$D$20-WEEKDAY(N18)-1,7)+1)&gt;$N$2,"",N18+MIN(MOD(הגדרות!$D$19-WEEKDAY(N18)-1,7)+1,MOD(הגדרות!$D$20-WEEKDAY(N18)-1,7)+1)))</f>
        <v/>
      </c>
      <c r="O19" s="0" t="str">
        <f aca="false">IF(B19="","",IF(D19="בוטל בהתראה",0,IF(D19="בוטל ללא התראה",הגדרות!$C$30,1)))</f>
        <v/>
      </c>
    </row>
    <row r="20" customFormat="false" ht="21" hidden="false" customHeight="true" outlineLevel="0" collapsed="false">
      <c r="A20" s="35" t="str">
        <f aca="false">IF(B20="","",COUNT($B$15:B20))</f>
        <v/>
      </c>
      <c r="B20" s="36" t="str">
        <f aca="false">IF(N20="","",N20)</f>
        <v/>
      </c>
      <c r="C20" s="35" t="str">
        <f aca="false">IF(B20="","",INDEX(הגדרות!$F$5:$F$11,WEEKDAY(B20)))</f>
        <v/>
      </c>
      <c r="D20" s="37" t="s">
        <v>108</v>
      </c>
      <c r="E20" s="38" t="str">
        <f aca="false">IF(B20="","",הגדרות!$C$28)</f>
        <v/>
      </c>
      <c r="F20" s="38"/>
      <c r="G20" s="39" t="str">
        <f aca="false">IF(B20="","",IF(O20=0,0,MIN(הגדרות!$C$29,MAX(E20,F20))))</f>
        <v/>
      </c>
      <c r="H20" s="40" t="str">
        <f aca="false">IF(B20="","",O20*הגדרות!$C$26)</f>
        <v/>
      </c>
      <c r="I20" s="40" t="str">
        <f aca="false">IF(B20="","",O20*G20*הגדרות!$C$27)</f>
        <v/>
      </c>
      <c r="J20" s="41" t="str">
        <f aca="false">IF(B20="","",H20+I20)</f>
        <v/>
      </c>
      <c r="K20" s="42"/>
      <c r="L20" s="43"/>
      <c r="N20" s="56" t="str">
        <f aca="false">IF(N19="","",IF(N19+MIN(MOD(הגדרות!$D$19-WEEKDAY(N19)-1,7)+1,MOD(הגדרות!$D$20-WEEKDAY(N19)-1,7)+1)&gt;$N$2,"",N19+MIN(MOD(הגדרות!$D$19-WEEKDAY(N19)-1,7)+1,MOD(הגדרות!$D$20-WEEKDAY(N19)-1,7)+1)))</f>
        <v/>
      </c>
      <c r="O20" s="0" t="str">
        <f aca="false">IF(B20="","",IF(D20="בוטל בהתראה",0,IF(D20="בוטל ללא התראה",הגדרות!$C$30,1)))</f>
        <v/>
      </c>
    </row>
    <row r="21" customFormat="false" ht="21" hidden="false" customHeight="true" outlineLevel="0" collapsed="false">
      <c r="A21" s="35" t="str">
        <f aca="false">IF(B21="","",COUNT($B$15:B21))</f>
        <v/>
      </c>
      <c r="B21" s="36" t="str">
        <f aca="false">IF(N21="","",N21)</f>
        <v/>
      </c>
      <c r="C21" s="35" t="str">
        <f aca="false">IF(B21="","",INDEX(הגדרות!$F$5:$F$11,WEEKDAY(B21)))</f>
        <v/>
      </c>
      <c r="D21" s="37" t="s">
        <v>108</v>
      </c>
      <c r="E21" s="38" t="str">
        <f aca="false">IF(B21="","",הגדרות!$C$28)</f>
        <v/>
      </c>
      <c r="F21" s="38"/>
      <c r="G21" s="39" t="str">
        <f aca="false">IF(B21="","",IF(O21=0,0,MIN(הגדרות!$C$29,MAX(E21,F21))))</f>
        <v/>
      </c>
      <c r="H21" s="40" t="str">
        <f aca="false">IF(B21="","",O21*הגדרות!$C$26)</f>
        <v/>
      </c>
      <c r="I21" s="40" t="str">
        <f aca="false">IF(B21="","",O21*G21*הגדרות!$C$27)</f>
        <v/>
      </c>
      <c r="J21" s="41" t="str">
        <f aca="false">IF(B21="","",H21+I21)</f>
        <v/>
      </c>
      <c r="K21" s="42"/>
      <c r="L21" s="43"/>
      <c r="N21" s="56" t="str">
        <f aca="false">IF(N20="","",IF(N20+MIN(MOD(הגדרות!$D$19-WEEKDAY(N20)-1,7)+1,MOD(הגדרות!$D$20-WEEKDAY(N20)-1,7)+1)&gt;$N$2,"",N20+MIN(MOD(הגדרות!$D$19-WEEKDAY(N20)-1,7)+1,MOD(הגדרות!$D$20-WEEKDAY(N20)-1,7)+1)))</f>
        <v/>
      </c>
      <c r="O21" s="0" t="str">
        <f aca="false">IF(B21="","",IF(D21="בוטל בהתראה",0,IF(D21="בוטל ללא התראה",הגדרות!$C$30,1)))</f>
        <v/>
      </c>
    </row>
    <row r="22" customFormat="false" ht="21" hidden="false" customHeight="true" outlineLevel="0" collapsed="false">
      <c r="A22" s="35" t="str">
        <f aca="false">IF(B22="","",COUNT($B$15:B22))</f>
        <v/>
      </c>
      <c r="B22" s="36" t="str">
        <f aca="false">IF(N22="","",N22)</f>
        <v/>
      </c>
      <c r="C22" s="35" t="str">
        <f aca="false">IF(B22="","",INDEX(הגדרות!$F$5:$F$11,WEEKDAY(B22)))</f>
        <v/>
      </c>
      <c r="D22" s="37" t="s">
        <v>108</v>
      </c>
      <c r="E22" s="38" t="str">
        <f aca="false">IF(B22="","",הגדרות!$C$28)</f>
        <v/>
      </c>
      <c r="F22" s="38"/>
      <c r="G22" s="39" t="str">
        <f aca="false">IF(B22="","",IF(O22=0,0,MIN(הגדרות!$C$29,MAX(E22,F22))))</f>
        <v/>
      </c>
      <c r="H22" s="40" t="str">
        <f aca="false">IF(B22="","",O22*הגדרות!$C$26)</f>
        <v/>
      </c>
      <c r="I22" s="40" t="str">
        <f aca="false">IF(B22="","",O22*G22*הגדרות!$C$27)</f>
        <v/>
      </c>
      <c r="J22" s="41" t="str">
        <f aca="false">IF(B22="","",H22+I22)</f>
        <v/>
      </c>
      <c r="K22" s="42"/>
      <c r="L22" s="43"/>
      <c r="N22" s="56" t="str">
        <f aca="false">IF(N21="","",IF(N21+MIN(MOD(הגדרות!$D$19-WEEKDAY(N21)-1,7)+1,MOD(הגדרות!$D$20-WEEKDAY(N21)-1,7)+1)&gt;$N$2,"",N21+MIN(MOD(הגדרות!$D$19-WEEKDAY(N21)-1,7)+1,MOD(הגדרות!$D$20-WEEKDAY(N21)-1,7)+1)))</f>
        <v/>
      </c>
      <c r="O22" s="0" t="str">
        <f aca="false">IF(B22="","",IF(D22="בוטל בהתראה",0,IF(D22="בוטל ללא התראה",הגדרות!$C$30,1)))</f>
        <v/>
      </c>
    </row>
    <row r="23" customFormat="false" ht="21" hidden="false" customHeight="true" outlineLevel="0" collapsed="false">
      <c r="A23" s="35" t="str">
        <f aca="false">IF(B23="","",COUNT($B$15:B23))</f>
        <v/>
      </c>
      <c r="B23" s="36" t="str">
        <f aca="false">IF(N23="","",N23)</f>
        <v/>
      </c>
      <c r="C23" s="35" t="str">
        <f aca="false">IF(B23="","",INDEX(הגדרות!$F$5:$F$11,WEEKDAY(B23)))</f>
        <v/>
      </c>
      <c r="D23" s="37" t="s">
        <v>108</v>
      </c>
      <c r="E23" s="38" t="str">
        <f aca="false">IF(B23="","",הגדרות!$C$28)</f>
        <v/>
      </c>
      <c r="F23" s="38"/>
      <c r="G23" s="39" t="str">
        <f aca="false">IF(B23="","",IF(O23=0,0,MIN(הגדרות!$C$29,MAX(E23,F23))))</f>
        <v/>
      </c>
      <c r="H23" s="40" t="str">
        <f aca="false">IF(B23="","",O23*הגדרות!$C$26)</f>
        <v/>
      </c>
      <c r="I23" s="40" t="str">
        <f aca="false">IF(B23="","",O23*G23*הגדרות!$C$27)</f>
        <v/>
      </c>
      <c r="J23" s="41" t="str">
        <f aca="false">IF(B23="","",H23+I23)</f>
        <v/>
      </c>
      <c r="K23" s="42"/>
      <c r="L23" s="43"/>
      <c r="N23" s="56" t="str">
        <f aca="false">IF(N22="","",IF(N22+MIN(MOD(הגדרות!$D$19-WEEKDAY(N22)-1,7)+1,MOD(הגדרות!$D$20-WEEKDAY(N22)-1,7)+1)&gt;$N$2,"",N22+MIN(MOD(הגדרות!$D$19-WEEKDAY(N22)-1,7)+1,MOD(הגדרות!$D$20-WEEKDAY(N22)-1,7)+1)))</f>
        <v/>
      </c>
      <c r="O23" s="0" t="str">
        <f aca="false">IF(B23="","",IF(D23="בוטל בהתראה",0,IF(D23="בוטל ללא התראה",הגדרות!$C$30,1)))</f>
        <v/>
      </c>
    </row>
    <row r="24" customFormat="false" ht="21" hidden="false" customHeight="true" outlineLevel="0" collapsed="false">
      <c r="A24" s="35" t="str">
        <f aca="false">IF(B24="","",COUNT($B$15:B24))</f>
        <v/>
      </c>
      <c r="B24" s="36" t="str">
        <f aca="false">IF(N24="","",N24)</f>
        <v/>
      </c>
      <c r="C24" s="35" t="str">
        <f aca="false">IF(B24="","",INDEX(הגדרות!$F$5:$F$11,WEEKDAY(B24)))</f>
        <v/>
      </c>
      <c r="D24" s="37" t="s">
        <v>108</v>
      </c>
      <c r="E24" s="38" t="str">
        <f aca="false">IF(B24="","",הגדרות!$C$28)</f>
        <v/>
      </c>
      <c r="F24" s="38"/>
      <c r="G24" s="39" t="str">
        <f aca="false">IF(B24="","",IF(O24=0,0,MIN(הגדרות!$C$29,MAX(E24,F24))))</f>
        <v/>
      </c>
      <c r="H24" s="40" t="str">
        <f aca="false">IF(B24="","",O24*הגדרות!$C$26)</f>
        <v/>
      </c>
      <c r="I24" s="40" t="str">
        <f aca="false">IF(B24="","",O24*G24*הגדרות!$C$27)</f>
        <v/>
      </c>
      <c r="J24" s="41" t="str">
        <f aca="false">IF(B24="","",H24+I24)</f>
        <v/>
      </c>
      <c r="K24" s="42"/>
      <c r="L24" s="43"/>
      <c r="N24" s="56" t="str">
        <f aca="false">IF(N23="","",IF(N23+MIN(MOD(הגדרות!$D$19-WEEKDAY(N23)-1,7)+1,MOD(הגדרות!$D$20-WEEKDAY(N23)-1,7)+1)&gt;$N$2,"",N23+MIN(MOD(הגדרות!$D$19-WEEKDAY(N23)-1,7)+1,MOD(הגדרות!$D$20-WEEKDAY(N23)-1,7)+1)))</f>
        <v/>
      </c>
      <c r="O24" s="0" t="str">
        <f aca="false">IF(B24="","",IF(D24="בוטל בהתראה",0,IF(D24="בוטל ללא התראה",הגדרות!$C$30,1)))</f>
        <v/>
      </c>
    </row>
    <row r="25" customFormat="false" ht="21.75" hidden="false" customHeight="true" outlineLevel="0" collapsed="false">
      <c r="A25" s="45" t="s">
        <v>109</v>
      </c>
      <c r="B25" s="45"/>
      <c r="C25" s="45"/>
      <c r="D25" s="45"/>
      <c r="E25" s="45"/>
      <c r="F25" s="45"/>
      <c r="G25" s="46" t="n">
        <f aca="false">SUM(G15:G24)</f>
        <v>24</v>
      </c>
      <c r="H25" s="47" t="n">
        <f aca="false">SUM(H15:H24)</f>
        <v>5200</v>
      </c>
      <c r="I25" s="47" t="n">
        <f aca="false">SUM(I15:I24)</f>
        <v>2400</v>
      </c>
      <c r="J25" s="47" t="n">
        <f aca="false">SUM(J15:J24)</f>
        <v>7600</v>
      </c>
      <c r="K25" s="45"/>
      <c r="L25" s="47" t="n">
        <f aca="false">SUM(L15:L24)</f>
        <v>0</v>
      </c>
    </row>
    <row r="26" customFormat="false" ht="25.5" hidden="false" customHeight="true" outlineLevel="0" collapsed="false">
      <c r="A26" s="48" t="s">
        <v>110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8" customFormat="false" ht="19.5" hidden="false" customHeight="true" outlineLevel="0" collapsed="false">
      <c r="A28" s="49" t="s">
        <v>111</v>
      </c>
      <c r="B28" s="49"/>
      <c r="C28" s="49"/>
      <c r="D28" s="49"/>
      <c r="E28" s="49"/>
      <c r="F28" s="49"/>
      <c r="G28" s="49"/>
      <c r="H28" s="50" t="str">
        <f aca="false">"תשלום בסיסי ("&amp;COUNTIF(O15:O24,"&gt;0")&amp;" מפגשים)"</f>
        <v>תשלום בסיסי (4 מפגשים)</v>
      </c>
      <c r="I28" s="50"/>
      <c r="J28" s="50"/>
      <c r="K28" s="50"/>
      <c r="L28" s="40" t="n">
        <f aca="false">H25</f>
        <v>5200</v>
      </c>
    </row>
    <row r="29" customFormat="false" ht="39.75" hidden="false" customHeight="true" outlineLevel="0" collapsed="false">
      <c r="A29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29" s="51"/>
      <c r="C29" s="51"/>
      <c r="D29" s="51"/>
      <c r="E29" s="51"/>
      <c r="F29" s="51"/>
      <c r="G29" s="51"/>
      <c r="H29" s="50" t="str">
        <f aca="false">"תקציב עץ ("&amp;G25&amp;" משתתפים)"</f>
        <v>תקציב עץ (24 משתתפים)</v>
      </c>
      <c r="I29" s="50"/>
      <c r="J29" s="50"/>
      <c r="K29" s="50"/>
      <c r="L29" s="40" t="n">
        <f aca="false">I25</f>
        <v>2400</v>
      </c>
    </row>
    <row r="30" customFormat="false" ht="27.75" hidden="false" customHeight="true" outlineLevel="0" collapsed="false">
      <c r="A30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0" s="51"/>
      <c r="C30" s="51"/>
      <c r="D30" s="51"/>
      <c r="E30" s="51"/>
      <c r="F30" s="51"/>
      <c r="G30" s="51"/>
      <c r="H30" s="50" t="s">
        <v>112</v>
      </c>
      <c r="I30" s="50"/>
      <c r="J30" s="50"/>
      <c r="K30" s="50"/>
      <c r="L30" s="40" t="n">
        <f aca="false">L25</f>
        <v>0</v>
      </c>
    </row>
    <row r="31" customFormat="false" ht="19.5" hidden="false" customHeight="true" outlineLevel="0" collapsed="false">
      <c r="A31" s="51" t="str">
        <f aca="false">"• תקציב עץ: "&amp;TEXT(הגדרות!$C$27,"#,##0")&amp;" ₪ למשתתף."</f>
        <v>• תקציב עץ: 100 ₪ למשתתף.</v>
      </c>
      <c r="B31" s="51"/>
      <c r="C31" s="51"/>
      <c r="D31" s="51"/>
      <c r="E31" s="51"/>
      <c r="F31" s="51"/>
      <c r="G31" s="51"/>
      <c r="H31" s="52" t="s">
        <v>113</v>
      </c>
      <c r="I31" s="52"/>
      <c r="J31" s="52"/>
      <c r="K31" s="52"/>
      <c r="L31" s="41" t="n">
        <f aca="false">L28+L29+L30</f>
        <v>7600</v>
      </c>
    </row>
    <row r="32" customFormat="false" ht="19.5" hidden="false" customHeight="true" outlineLevel="0" collapsed="false">
      <c r="A32" s="51" t="str">
        <f aca="false">IF(הגדרות!$C$34="","","• "&amp;הגדרות!$C$34)</f>
        <v>• המחירים אינם כוללים מע״מ. מע״מ יתווסף כחוק.</v>
      </c>
      <c r="B32" s="51"/>
      <c r="C32" s="51"/>
      <c r="D32" s="51"/>
      <c r="E32" s="51"/>
      <c r="F32" s="51"/>
      <c r="G32" s="51"/>
      <c r="H32" s="50" t="str">
        <f aca="false">"מע״מ "&amp;ROUND(הגדרות!$C$31*100,1)&amp;"%"</f>
        <v>מע״מ 18%</v>
      </c>
      <c r="I32" s="50"/>
      <c r="J32" s="50"/>
      <c r="K32" s="50"/>
      <c r="L32" s="40" t="n">
        <f aca="false">ROUND(L31*הגדרות!$C$31,2)</f>
        <v>1368</v>
      </c>
    </row>
    <row r="33" customFormat="false" ht="27.75" hidden="false" customHeight="true" outlineLevel="0" collapsed="false">
      <c r="A33" s="51" t="str">
        <f aca="false">IF(הגדרות!$C$35="","","• "&amp;הגדרות!$C$35)</f>
        <v>• פרויקטים גדולים ומיוחדים מתומחרים בנפרד לפי עלות החומרים, באישור החווה.</v>
      </c>
      <c r="B33" s="51"/>
      <c r="C33" s="51"/>
      <c r="D33" s="51"/>
      <c r="E33" s="51"/>
      <c r="F33" s="51"/>
      <c r="G33" s="51"/>
      <c r="H33" s="53" t="s">
        <v>114</v>
      </c>
      <c r="I33" s="53"/>
      <c r="J33" s="53"/>
      <c r="K33" s="53"/>
      <c r="L33" s="54" t="n">
        <f aca="false">L31+L32</f>
        <v>8968</v>
      </c>
    </row>
    <row r="34" customFormat="false" ht="15" hidden="false" customHeight="false" outlineLevel="0" collapsed="false">
      <c r="A34" s="51" t="str">
        <f aca="false">IF(הגדרות!$C$36="","","• "&amp;הגדרות!$C$36)</f>
        <v/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9" t="s">
        <v>115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5.75" hidden="false" customHeight="true" outlineLevel="0" collapsed="false">
      <c r="A36" s="51" t="str">
        <f aca="false">"• "&amp;הגדרות!$C$39</f>
        <v>• ביטול מלא של הסדנא: ביטול של עד 48 שעות לפני מועד הסדנא – ללא חיוב.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customFormat="false" ht="15.75" hidden="false" customHeight="true" outlineLevel="0" collapsed="false">
      <c r="A37" s="51" t="str">
        <f aca="false">"• "&amp;הגדרות!$C$40</f>
        <v>• מספר המשתתפים: הסדנא מתוכננת ומוכנה מראש בהתאם למספר המשתתפים שסוכם, עד 6 משתתפים.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15.75" hidden="false" customHeight="true" outlineLevel="0" collapsed="false">
      <c r="A38" s="51" t="str">
        <f aca="false">"• "&amp;הגדרות!$C$41</f>
        <v>• הפחתת מספר המשתתפים: יש לעדכן על שינוי במספר המשתתפים עד 24 שעות לפני הסדנא.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5.5" hidden="false" customHeight="true" outlineLevel="0" collapsed="false">
      <c r="A39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2" customFormat="false" ht="15" hidden="false" customHeight="false" outlineLevel="0" collapsed="false">
      <c r="A42" s="55" t="str">
        <f aca="false">"בברכה, "&amp;הגדרות!$C$6</f>
        <v>בברכה, (למילוי)</v>
      </c>
      <c r="B42" s="55"/>
      <c r="C42" s="55"/>
      <c r="D42" s="55"/>
      <c r="E42" s="55"/>
      <c r="H42" s="55" t="s">
        <v>116</v>
      </c>
      <c r="I42" s="55"/>
      <c r="J42" s="55"/>
      <c r="K42" s="55"/>
      <c r="L42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25:F25"/>
    <mergeCell ref="A26:L26"/>
    <mergeCell ref="A28:G28"/>
    <mergeCell ref="H28:K28"/>
    <mergeCell ref="A29:G29"/>
    <mergeCell ref="H29:K29"/>
    <mergeCell ref="A30:G30"/>
    <mergeCell ref="H30:K30"/>
    <mergeCell ref="A31:G31"/>
    <mergeCell ref="H31:K31"/>
    <mergeCell ref="A32:G32"/>
    <mergeCell ref="H32:K32"/>
    <mergeCell ref="A33:G33"/>
    <mergeCell ref="H33:K33"/>
    <mergeCell ref="A34:G34"/>
    <mergeCell ref="A35:L35"/>
    <mergeCell ref="A36:L36"/>
    <mergeCell ref="A37:L37"/>
    <mergeCell ref="A38:L38"/>
    <mergeCell ref="A39:L39"/>
    <mergeCell ref="A42:E42"/>
    <mergeCell ref="H42:L42"/>
  </mergeCells>
  <conditionalFormatting sqref="D15:D24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24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24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24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24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56" t="n">
        <f aca="false">DATE(YEAR($I$11),MONTH($I$11),1)</f>
        <v>46539</v>
      </c>
    </row>
    <row r="2" customFormat="false" ht="24" hidden="false" customHeight="true" outlineLevel="0" collapsed="false">
      <c r="A2" s="25" t="str">
        <f aca="false">הגדרות!$C$17&amp;" · "&amp;"מפגש שבועי בימי "&amp;הגדרות!$C$19&amp;IF(הגדרות!$C$20="",""," ו"&amp;הגדרות!$C$20)&amp;IF(הגדרות!$C$18="",""," ("&amp;הגדרות!$C$18&amp;")")&amp;" · "&amp;CHOOSE(MONTH($N$1),"ינואר","פברואר","מרץ","אפריל","מאי","יוני","יולי","אוגוסט","ספטמבר","אוקטובר","נובמבר","דצמבר")&amp;" "&amp;YEAR($N$1)</f>
        <v>תכנית חוסן · מפגש שבועי בימי רביעי (הוותיקה) · יוני 2027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N2" s="56" t="n">
        <f aca="false">EOMONTH($N$1,0)</f>
        <v>46568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tr">
        <f aca="false">"חוסן-"&amp;YEAR($N$1)&amp;"-"&amp;TEXT(MONTH($N$1),"00")</f>
        <v>חוסן-2027-06</v>
      </c>
      <c r="D11" s="28"/>
      <c r="E11" s="28"/>
      <c r="G11" s="27" t="s">
        <v>117</v>
      </c>
      <c r="H11" s="27"/>
      <c r="I11" s="57" t="n">
        <v>46539</v>
      </c>
      <c r="J11" s="57"/>
      <c r="K11" s="57"/>
      <c r="L11" s="57"/>
    </row>
    <row r="12" customFormat="false" ht="15" hidden="false" customHeight="false" outlineLevel="0" collapsed="false">
      <c r="A12" s="27" t="s">
        <v>96</v>
      </c>
      <c r="B12" s="27"/>
      <c r="C12" s="58" t="n">
        <f aca="false">$N$2</f>
        <v>46568</v>
      </c>
      <c r="D12" s="58"/>
      <c r="E12" s="58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f aca="false">IF(N15="","",N15)</f>
        <v>46540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N15" s="56" t="n">
        <f aca="false">$N$1+MIN(MOD(הגדרות!$D$19-WEEKDAY($N$1),7),MOD(הגדרות!$D$20-WEEKDAY($N$1),7))</f>
        <v>46540</v>
      </c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f aca="false">IF(N16="","",N16)</f>
        <v>46547</v>
      </c>
      <c r="C16" s="35" t="str">
        <f aca="false">IF(B16="","",INDEX(הגדרות!$F$5:$F$11,WEEKDAY(B16)))</f>
        <v>רביעי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N16" s="56" t="n">
        <f aca="false">IF(N15="","",IF(N15+MIN(MOD(הגדרות!$D$19-WEEKDAY(N15)-1,7)+1,MOD(הגדרות!$D$20-WEEKDAY(N15)-1,7)+1)&gt;$N$2,"",N15+MIN(MOD(הגדרות!$D$19-WEEKDAY(N15)-1,7)+1,MOD(הגדרות!$D$20-WEEKDAY(N15)-1,7)+1)))</f>
        <v>46547</v>
      </c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f aca="false">IF(N17="","",N17)</f>
        <v>46554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N17" s="56" t="n">
        <f aca="false">IF(N16="","",IF(N16+MIN(MOD(הגדרות!$D$19-WEEKDAY(N16)-1,7)+1,MOD(הגדרות!$D$20-WEEKDAY(N16)-1,7)+1)&gt;$N$2,"",N16+MIN(MOD(הגדרות!$D$19-WEEKDAY(N16)-1,7)+1,MOD(הגדרות!$D$20-WEEKDAY(N16)-1,7)+1)))</f>
        <v>46554</v>
      </c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f aca="false">IF(N18="","",N18)</f>
        <v>46561</v>
      </c>
      <c r="C18" s="35" t="str">
        <f aca="false">IF(B18="","",INDEX(הגדרות!$F$5:$F$11,WEEKDAY(B18)))</f>
        <v>רביעי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N18" s="56" t="n">
        <f aca="false">IF(N17="","",IF(N17+MIN(MOD(הגדרות!$D$19-WEEKDAY(N17)-1,7)+1,MOD(הגדרות!$D$20-WEEKDAY(N17)-1,7)+1)&gt;$N$2,"",N17+MIN(MOD(הגדרות!$D$19-WEEKDAY(N17)-1,7)+1,MOD(הגדרות!$D$20-WEEKDAY(N17)-1,7)+1)))</f>
        <v>46561</v>
      </c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n">
        <f aca="false">IF(B19="","",COUNT($B$15:B19))</f>
        <v>5</v>
      </c>
      <c r="B19" s="36" t="n">
        <f aca="false">IF(N19="","",N19)</f>
        <v>46568</v>
      </c>
      <c r="C19" s="35" t="str">
        <f aca="false">IF(B19="","",INDEX(הגדרות!$F$5:$F$11,WEEKDAY(B19)))</f>
        <v>רביעי</v>
      </c>
      <c r="D19" s="37" t="s">
        <v>108</v>
      </c>
      <c r="E19" s="38" t="n">
        <f aca="false">IF(B19="","",הגדרות!$C$28)</f>
        <v>6</v>
      </c>
      <c r="F19" s="38"/>
      <c r="G19" s="39" t="n">
        <f aca="false">IF(B19="","",IF(O19=0,0,MIN(הגדרות!$C$29,MAX(E19,F19))))</f>
        <v>6</v>
      </c>
      <c r="H19" s="40" t="n">
        <f aca="false">IF(B19="","",O19*הגדרות!$C$26)</f>
        <v>1300</v>
      </c>
      <c r="I19" s="40" t="n">
        <f aca="false">IF(B19="","",O19*G19*הגדרות!$C$27)</f>
        <v>600</v>
      </c>
      <c r="J19" s="41" t="n">
        <f aca="false">IF(B19="","",H19+I19)</f>
        <v>1900</v>
      </c>
      <c r="K19" s="42"/>
      <c r="L19" s="43"/>
      <c r="N19" s="56" t="n">
        <f aca="false">IF(N18="","",IF(N18+MIN(MOD(הגדרות!$D$19-WEEKDAY(N18)-1,7)+1,MOD(הגדרות!$D$20-WEEKDAY(N18)-1,7)+1)&gt;$N$2,"",N18+MIN(MOD(הגדרות!$D$19-WEEKDAY(N18)-1,7)+1,MOD(הגדרות!$D$20-WEEKDAY(N18)-1,7)+1)))</f>
        <v>46568</v>
      </c>
      <c r="O19" s="44" t="n">
        <f aca="false">IF(B19="","",IF(D19="בוטל בהתראה",0,IF(D19="בוטל ללא התראה",הגדרות!$C$30,1)))</f>
        <v>1</v>
      </c>
    </row>
    <row r="20" customFormat="false" ht="21" hidden="false" customHeight="true" outlineLevel="0" collapsed="false">
      <c r="A20" s="35" t="str">
        <f aca="false">IF(B20="","",COUNT($B$15:B20))</f>
        <v/>
      </c>
      <c r="B20" s="36" t="str">
        <f aca="false">IF(N20="","",N20)</f>
        <v/>
      </c>
      <c r="C20" s="35" t="str">
        <f aca="false">IF(B20="","",INDEX(הגדרות!$F$5:$F$11,WEEKDAY(B20)))</f>
        <v/>
      </c>
      <c r="D20" s="37" t="s">
        <v>108</v>
      </c>
      <c r="E20" s="38" t="str">
        <f aca="false">IF(B20="","",הגדרות!$C$28)</f>
        <v/>
      </c>
      <c r="F20" s="38"/>
      <c r="G20" s="39" t="str">
        <f aca="false">IF(B20="","",IF(O20=0,0,MIN(הגדרות!$C$29,MAX(E20,F20))))</f>
        <v/>
      </c>
      <c r="H20" s="40" t="str">
        <f aca="false">IF(B20="","",O20*הגדרות!$C$26)</f>
        <v/>
      </c>
      <c r="I20" s="40" t="str">
        <f aca="false">IF(B20="","",O20*G20*הגדרות!$C$27)</f>
        <v/>
      </c>
      <c r="J20" s="41" t="str">
        <f aca="false">IF(B20="","",H20+I20)</f>
        <v/>
      </c>
      <c r="K20" s="42"/>
      <c r="L20" s="43"/>
      <c r="N20" s="56" t="str">
        <f aca="false">IF(N19="","",IF(N19+MIN(MOD(הגדרות!$D$19-WEEKDAY(N19)-1,7)+1,MOD(הגדרות!$D$20-WEEKDAY(N19)-1,7)+1)&gt;$N$2,"",N19+MIN(MOD(הגדרות!$D$19-WEEKDAY(N19)-1,7)+1,MOD(הגדרות!$D$20-WEEKDAY(N19)-1,7)+1)))</f>
        <v/>
      </c>
      <c r="O20" s="0" t="str">
        <f aca="false">IF(B20="","",IF(D20="בוטל בהתראה",0,IF(D20="בוטל ללא התראה",הגדרות!$C$30,1)))</f>
        <v/>
      </c>
    </row>
    <row r="21" customFormat="false" ht="21" hidden="false" customHeight="true" outlineLevel="0" collapsed="false">
      <c r="A21" s="35" t="str">
        <f aca="false">IF(B21="","",COUNT($B$15:B21))</f>
        <v/>
      </c>
      <c r="B21" s="36" t="str">
        <f aca="false">IF(N21="","",N21)</f>
        <v/>
      </c>
      <c r="C21" s="35" t="str">
        <f aca="false">IF(B21="","",INDEX(הגדרות!$F$5:$F$11,WEEKDAY(B21)))</f>
        <v/>
      </c>
      <c r="D21" s="37" t="s">
        <v>108</v>
      </c>
      <c r="E21" s="38" t="str">
        <f aca="false">IF(B21="","",הגדרות!$C$28)</f>
        <v/>
      </c>
      <c r="F21" s="38"/>
      <c r="G21" s="39" t="str">
        <f aca="false">IF(B21="","",IF(O21=0,0,MIN(הגדרות!$C$29,MAX(E21,F21))))</f>
        <v/>
      </c>
      <c r="H21" s="40" t="str">
        <f aca="false">IF(B21="","",O21*הגדרות!$C$26)</f>
        <v/>
      </c>
      <c r="I21" s="40" t="str">
        <f aca="false">IF(B21="","",O21*G21*הגדרות!$C$27)</f>
        <v/>
      </c>
      <c r="J21" s="41" t="str">
        <f aca="false">IF(B21="","",H21+I21)</f>
        <v/>
      </c>
      <c r="K21" s="42"/>
      <c r="L21" s="43"/>
      <c r="N21" s="56" t="str">
        <f aca="false">IF(N20="","",IF(N20+MIN(MOD(הגדרות!$D$19-WEEKDAY(N20)-1,7)+1,MOD(הגדרות!$D$20-WEEKDAY(N20)-1,7)+1)&gt;$N$2,"",N20+MIN(MOD(הגדרות!$D$19-WEEKDAY(N20)-1,7)+1,MOD(הגדרות!$D$20-WEEKDAY(N20)-1,7)+1)))</f>
        <v/>
      </c>
      <c r="O21" s="0" t="str">
        <f aca="false">IF(B21="","",IF(D21="בוטל בהתראה",0,IF(D21="בוטל ללא התראה",הגדרות!$C$30,1)))</f>
        <v/>
      </c>
    </row>
    <row r="22" customFormat="false" ht="21" hidden="false" customHeight="true" outlineLevel="0" collapsed="false">
      <c r="A22" s="35" t="str">
        <f aca="false">IF(B22="","",COUNT($B$15:B22))</f>
        <v/>
      </c>
      <c r="B22" s="36" t="str">
        <f aca="false">IF(N22="","",N22)</f>
        <v/>
      </c>
      <c r="C22" s="35" t="str">
        <f aca="false">IF(B22="","",INDEX(הגדרות!$F$5:$F$11,WEEKDAY(B22)))</f>
        <v/>
      </c>
      <c r="D22" s="37" t="s">
        <v>108</v>
      </c>
      <c r="E22" s="38" t="str">
        <f aca="false">IF(B22="","",הגדרות!$C$28)</f>
        <v/>
      </c>
      <c r="F22" s="38"/>
      <c r="G22" s="39" t="str">
        <f aca="false">IF(B22="","",IF(O22=0,0,MIN(הגדרות!$C$29,MAX(E22,F22))))</f>
        <v/>
      </c>
      <c r="H22" s="40" t="str">
        <f aca="false">IF(B22="","",O22*הגדרות!$C$26)</f>
        <v/>
      </c>
      <c r="I22" s="40" t="str">
        <f aca="false">IF(B22="","",O22*G22*הגדרות!$C$27)</f>
        <v/>
      </c>
      <c r="J22" s="41" t="str">
        <f aca="false">IF(B22="","",H22+I22)</f>
        <v/>
      </c>
      <c r="K22" s="42"/>
      <c r="L22" s="43"/>
      <c r="N22" s="56" t="str">
        <f aca="false">IF(N21="","",IF(N21+MIN(MOD(הגדרות!$D$19-WEEKDAY(N21)-1,7)+1,MOD(הגדרות!$D$20-WEEKDAY(N21)-1,7)+1)&gt;$N$2,"",N21+MIN(MOD(הגדרות!$D$19-WEEKDAY(N21)-1,7)+1,MOD(הגדרות!$D$20-WEEKDAY(N21)-1,7)+1)))</f>
        <v/>
      </c>
      <c r="O22" s="0" t="str">
        <f aca="false">IF(B22="","",IF(D22="בוטל בהתראה",0,IF(D22="בוטל ללא התראה",הגדרות!$C$30,1)))</f>
        <v/>
      </c>
    </row>
    <row r="23" customFormat="false" ht="21" hidden="false" customHeight="true" outlineLevel="0" collapsed="false">
      <c r="A23" s="35" t="str">
        <f aca="false">IF(B23="","",COUNT($B$15:B23))</f>
        <v/>
      </c>
      <c r="B23" s="36" t="str">
        <f aca="false">IF(N23="","",N23)</f>
        <v/>
      </c>
      <c r="C23" s="35" t="str">
        <f aca="false">IF(B23="","",INDEX(הגדרות!$F$5:$F$11,WEEKDAY(B23)))</f>
        <v/>
      </c>
      <c r="D23" s="37" t="s">
        <v>108</v>
      </c>
      <c r="E23" s="38" t="str">
        <f aca="false">IF(B23="","",הגדרות!$C$28)</f>
        <v/>
      </c>
      <c r="F23" s="38"/>
      <c r="G23" s="39" t="str">
        <f aca="false">IF(B23="","",IF(O23=0,0,MIN(הגדרות!$C$29,MAX(E23,F23))))</f>
        <v/>
      </c>
      <c r="H23" s="40" t="str">
        <f aca="false">IF(B23="","",O23*הגדרות!$C$26)</f>
        <v/>
      </c>
      <c r="I23" s="40" t="str">
        <f aca="false">IF(B23="","",O23*G23*הגדרות!$C$27)</f>
        <v/>
      </c>
      <c r="J23" s="41" t="str">
        <f aca="false">IF(B23="","",H23+I23)</f>
        <v/>
      </c>
      <c r="K23" s="42"/>
      <c r="L23" s="43"/>
      <c r="N23" s="56" t="str">
        <f aca="false">IF(N22="","",IF(N22+MIN(MOD(הגדרות!$D$19-WEEKDAY(N22)-1,7)+1,MOD(הגדרות!$D$20-WEEKDAY(N22)-1,7)+1)&gt;$N$2,"",N22+MIN(MOD(הגדרות!$D$19-WEEKDAY(N22)-1,7)+1,MOD(הגדרות!$D$20-WEEKDAY(N22)-1,7)+1)))</f>
        <v/>
      </c>
      <c r="O23" s="0" t="str">
        <f aca="false">IF(B23="","",IF(D23="בוטל בהתראה",0,IF(D23="בוטל ללא התראה",הגדרות!$C$30,1)))</f>
        <v/>
      </c>
    </row>
    <row r="24" customFormat="false" ht="21" hidden="false" customHeight="true" outlineLevel="0" collapsed="false">
      <c r="A24" s="35" t="str">
        <f aca="false">IF(B24="","",COUNT($B$15:B24))</f>
        <v/>
      </c>
      <c r="B24" s="36" t="str">
        <f aca="false">IF(N24="","",N24)</f>
        <v/>
      </c>
      <c r="C24" s="35" t="str">
        <f aca="false">IF(B24="","",INDEX(הגדרות!$F$5:$F$11,WEEKDAY(B24)))</f>
        <v/>
      </c>
      <c r="D24" s="37" t="s">
        <v>108</v>
      </c>
      <c r="E24" s="38" t="str">
        <f aca="false">IF(B24="","",הגדרות!$C$28)</f>
        <v/>
      </c>
      <c r="F24" s="38"/>
      <c r="G24" s="39" t="str">
        <f aca="false">IF(B24="","",IF(O24=0,0,MIN(הגדרות!$C$29,MAX(E24,F24))))</f>
        <v/>
      </c>
      <c r="H24" s="40" t="str">
        <f aca="false">IF(B24="","",O24*הגדרות!$C$26)</f>
        <v/>
      </c>
      <c r="I24" s="40" t="str">
        <f aca="false">IF(B24="","",O24*G24*הגדרות!$C$27)</f>
        <v/>
      </c>
      <c r="J24" s="41" t="str">
        <f aca="false">IF(B24="","",H24+I24)</f>
        <v/>
      </c>
      <c r="K24" s="42"/>
      <c r="L24" s="43"/>
      <c r="N24" s="56" t="str">
        <f aca="false">IF(N23="","",IF(N23+MIN(MOD(הגדרות!$D$19-WEEKDAY(N23)-1,7)+1,MOD(הגדרות!$D$20-WEEKDAY(N23)-1,7)+1)&gt;$N$2,"",N23+MIN(MOD(הגדרות!$D$19-WEEKDAY(N23)-1,7)+1,MOD(הגדרות!$D$20-WEEKDAY(N23)-1,7)+1)))</f>
        <v/>
      </c>
      <c r="O24" s="0" t="str">
        <f aca="false">IF(B24="","",IF(D24="בוטל בהתראה",0,IF(D24="בוטל ללא התראה",הגדרות!$C$30,1)))</f>
        <v/>
      </c>
    </row>
    <row r="25" customFormat="false" ht="21.75" hidden="false" customHeight="true" outlineLevel="0" collapsed="false">
      <c r="A25" s="45" t="s">
        <v>109</v>
      </c>
      <c r="B25" s="45"/>
      <c r="C25" s="45"/>
      <c r="D25" s="45"/>
      <c r="E25" s="45"/>
      <c r="F25" s="45"/>
      <c r="G25" s="46" t="n">
        <f aca="false">SUM(G15:G24)</f>
        <v>30</v>
      </c>
      <c r="H25" s="47" t="n">
        <f aca="false">SUM(H15:H24)</f>
        <v>6500</v>
      </c>
      <c r="I25" s="47" t="n">
        <f aca="false">SUM(I15:I24)</f>
        <v>3000</v>
      </c>
      <c r="J25" s="47" t="n">
        <f aca="false">SUM(J15:J24)</f>
        <v>9500</v>
      </c>
      <c r="K25" s="45"/>
      <c r="L25" s="47" t="n">
        <f aca="false">SUM(L15:L24)</f>
        <v>0</v>
      </c>
    </row>
    <row r="26" customFormat="false" ht="25.5" hidden="false" customHeight="true" outlineLevel="0" collapsed="false">
      <c r="A26" s="48" t="s">
        <v>110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8" customFormat="false" ht="19.5" hidden="false" customHeight="true" outlineLevel="0" collapsed="false">
      <c r="A28" s="49" t="s">
        <v>111</v>
      </c>
      <c r="B28" s="49"/>
      <c r="C28" s="49"/>
      <c r="D28" s="49"/>
      <c r="E28" s="49"/>
      <c r="F28" s="49"/>
      <c r="G28" s="49"/>
      <c r="H28" s="50" t="str">
        <f aca="false">"תשלום בסיסי ("&amp;COUNTIF(O15:O24,"&gt;0")&amp;" מפגשים)"</f>
        <v>תשלום בסיסי (5 מפגשים)</v>
      </c>
      <c r="I28" s="50"/>
      <c r="J28" s="50"/>
      <c r="K28" s="50"/>
      <c r="L28" s="40" t="n">
        <f aca="false">H25</f>
        <v>6500</v>
      </c>
    </row>
    <row r="29" customFormat="false" ht="39.75" hidden="false" customHeight="true" outlineLevel="0" collapsed="false">
      <c r="A29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29" s="51"/>
      <c r="C29" s="51"/>
      <c r="D29" s="51"/>
      <c r="E29" s="51"/>
      <c r="F29" s="51"/>
      <c r="G29" s="51"/>
      <c r="H29" s="50" t="str">
        <f aca="false">"תקציב עץ ("&amp;G25&amp;" משתתפים)"</f>
        <v>תקציב עץ (30 משתתפים)</v>
      </c>
      <c r="I29" s="50"/>
      <c r="J29" s="50"/>
      <c r="K29" s="50"/>
      <c r="L29" s="40" t="n">
        <f aca="false">I25</f>
        <v>3000</v>
      </c>
    </row>
    <row r="30" customFormat="false" ht="27.75" hidden="false" customHeight="true" outlineLevel="0" collapsed="false">
      <c r="A30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0" s="51"/>
      <c r="C30" s="51"/>
      <c r="D30" s="51"/>
      <c r="E30" s="51"/>
      <c r="F30" s="51"/>
      <c r="G30" s="51"/>
      <c r="H30" s="50" t="s">
        <v>112</v>
      </c>
      <c r="I30" s="50"/>
      <c r="J30" s="50"/>
      <c r="K30" s="50"/>
      <c r="L30" s="40" t="n">
        <f aca="false">L25</f>
        <v>0</v>
      </c>
    </row>
    <row r="31" customFormat="false" ht="19.5" hidden="false" customHeight="true" outlineLevel="0" collapsed="false">
      <c r="A31" s="51" t="str">
        <f aca="false">"• תקציב עץ: "&amp;TEXT(הגדרות!$C$27,"#,##0")&amp;" ₪ למשתתף."</f>
        <v>• תקציב עץ: 100 ₪ למשתתף.</v>
      </c>
      <c r="B31" s="51"/>
      <c r="C31" s="51"/>
      <c r="D31" s="51"/>
      <c r="E31" s="51"/>
      <c r="F31" s="51"/>
      <c r="G31" s="51"/>
      <c r="H31" s="52" t="s">
        <v>113</v>
      </c>
      <c r="I31" s="52"/>
      <c r="J31" s="52"/>
      <c r="K31" s="52"/>
      <c r="L31" s="41" t="n">
        <f aca="false">L28+L29+L30</f>
        <v>9500</v>
      </c>
    </row>
    <row r="32" customFormat="false" ht="19.5" hidden="false" customHeight="true" outlineLevel="0" collapsed="false">
      <c r="A32" s="51" t="str">
        <f aca="false">IF(הגדרות!$C$34="","","• "&amp;הגדרות!$C$34)</f>
        <v>• המחירים אינם כוללים מע״מ. מע״מ יתווסף כחוק.</v>
      </c>
      <c r="B32" s="51"/>
      <c r="C32" s="51"/>
      <c r="D32" s="51"/>
      <c r="E32" s="51"/>
      <c r="F32" s="51"/>
      <c r="G32" s="51"/>
      <c r="H32" s="50" t="str">
        <f aca="false">"מע״מ "&amp;ROUND(הגדרות!$C$31*100,1)&amp;"%"</f>
        <v>מע״מ 18%</v>
      </c>
      <c r="I32" s="50"/>
      <c r="J32" s="50"/>
      <c r="K32" s="50"/>
      <c r="L32" s="40" t="n">
        <f aca="false">ROUND(L31*הגדרות!$C$31,2)</f>
        <v>1710</v>
      </c>
    </row>
    <row r="33" customFormat="false" ht="27.75" hidden="false" customHeight="true" outlineLevel="0" collapsed="false">
      <c r="A33" s="51" t="str">
        <f aca="false">IF(הגדרות!$C$35="","","• "&amp;הגדרות!$C$35)</f>
        <v>• פרויקטים גדולים ומיוחדים מתומחרים בנפרד לפי עלות החומרים, באישור החווה.</v>
      </c>
      <c r="B33" s="51"/>
      <c r="C33" s="51"/>
      <c r="D33" s="51"/>
      <c r="E33" s="51"/>
      <c r="F33" s="51"/>
      <c r="G33" s="51"/>
      <c r="H33" s="53" t="s">
        <v>114</v>
      </c>
      <c r="I33" s="53"/>
      <c r="J33" s="53"/>
      <c r="K33" s="53"/>
      <c r="L33" s="54" t="n">
        <f aca="false">L31+L32</f>
        <v>11210</v>
      </c>
    </row>
    <row r="34" customFormat="false" ht="15" hidden="false" customHeight="false" outlineLevel="0" collapsed="false">
      <c r="A34" s="51" t="str">
        <f aca="false">IF(הגדרות!$C$36="","","• "&amp;הגדרות!$C$36)</f>
        <v/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9" t="s">
        <v>115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5.75" hidden="false" customHeight="true" outlineLevel="0" collapsed="false">
      <c r="A36" s="51" t="str">
        <f aca="false">"• "&amp;הגדרות!$C$39</f>
        <v>• ביטול מלא של הסדנא: ביטול של עד 48 שעות לפני מועד הסדנא – ללא חיוב.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customFormat="false" ht="15.75" hidden="false" customHeight="true" outlineLevel="0" collapsed="false">
      <c r="A37" s="51" t="str">
        <f aca="false">"• "&amp;הגדרות!$C$40</f>
        <v>• מספר המשתתפים: הסדנא מתוכננת ומוכנה מראש בהתאם למספר המשתתפים שסוכם, עד 6 משתתפים.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15.75" hidden="false" customHeight="true" outlineLevel="0" collapsed="false">
      <c r="A38" s="51" t="str">
        <f aca="false">"• "&amp;הגדרות!$C$41</f>
        <v>• הפחתת מספר המשתתפים: יש לעדכן על שינוי במספר המשתתפים עד 24 שעות לפני הסדנא.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5.5" hidden="false" customHeight="true" outlineLevel="0" collapsed="false">
      <c r="A39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2" customFormat="false" ht="15" hidden="false" customHeight="false" outlineLevel="0" collapsed="false">
      <c r="A42" s="55" t="str">
        <f aca="false">"בברכה, "&amp;הגדרות!$C$6</f>
        <v>בברכה, (למילוי)</v>
      </c>
      <c r="B42" s="55"/>
      <c r="C42" s="55"/>
      <c r="D42" s="55"/>
      <c r="E42" s="55"/>
      <c r="H42" s="55" t="s">
        <v>116</v>
      </c>
      <c r="I42" s="55"/>
      <c r="J42" s="55"/>
      <c r="K42" s="55"/>
      <c r="L42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25:F25"/>
    <mergeCell ref="A26:L26"/>
    <mergeCell ref="A28:G28"/>
    <mergeCell ref="H28:K28"/>
    <mergeCell ref="A29:G29"/>
    <mergeCell ref="H29:K29"/>
    <mergeCell ref="A30:G30"/>
    <mergeCell ref="H30:K30"/>
    <mergeCell ref="A31:G31"/>
    <mergeCell ref="H31:K31"/>
    <mergeCell ref="A32:G32"/>
    <mergeCell ref="H32:K32"/>
    <mergeCell ref="A33:G33"/>
    <mergeCell ref="H33:K33"/>
    <mergeCell ref="A34:G34"/>
    <mergeCell ref="A35:L35"/>
    <mergeCell ref="A36:L36"/>
    <mergeCell ref="A37:L37"/>
    <mergeCell ref="A38:L38"/>
    <mergeCell ref="A39:L39"/>
    <mergeCell ref="A42:E42"/>
    <mergeCell ref="H42:L42"/>
  </mergeCells>
  <conditionalFormatting sqref="D15:D24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24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24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24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24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56" t="n">
        <f aca="false">DATE(YEAR($I$11),MONTH($I$11),1)</f>
        <v>46569</v>
      </c>
    </row>
    <row r="2" customFormat="false" ht="24" hidden="false" customHeight="true" outlineLevel="0" collapsed="false">
      <c r="A2" s="25" t="str">
        <f aca="false">הגדרות!$C$17&amp;" · "&amp;"מפגש שבועי בימי "&amp;הגדרות!$C$19&amp;IF(הגדרות!$C$20="",""," ו"&amp;הגדרות!$C$20)&amp;IF(הגדרות!$C$18="",""," ("&amp;הגדרות!$C$18&amp;")")&amp;" · "&amp;CHOOSE(MONTH($N$1),"ינואר","פברואר","מרץ","אפריל","מאי","יוני","יולי","אוגוסט","ספטמבר","אוקטובר","נובמבר","דצמבר")&amp;" "&amp;YEAR($N$1)</f>
        <v>תכנית חוסן · מפגש שבועי בימי רביעי (הוותיקה) · יולי 2027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N2" s="56" t="n">
        <f aca="false">EOMONTH($N$1,0)</f>
        <v>46599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tr">
        <f aca="false">"חוסן-"&amp;YEAR($N$1)&amp;"-"&amp;TEXT(MONTH($N$1),"00")</f>
        <v>חוסן-2027-07</v>
      </c>
      <c r="D11" s="28"/>
      <c r="E11" s="28"/>
      <c r="G11" s="27" t="s">
        <v>117</v>
      </c>
      <c r="H11" s="27"/>
      <c r="I11" s="57" t="n">
        <v>46569</v>
      </c>
      <c r="J11" s="57"/>
      <c r="K11" s="57"/>
      <c r="L11" s="57"/>
    </row>
    <row r="12" customFormat="false" ht="15" hidden="false" customHeight="false" outlineLevel="0" collapsed="false">
      <c r="A12" s="27" t="s">
        <v>96</v>
      </c>
      <c r="B12" s="27"/>
      <c r="C12" s="58" t="n">
        <f aca="false">$N$2</f>
        <v>46599</v>
      </c>
      <c r="D12" s="58"/>
      <c r="E12" s="58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f aca="false">IF(N15="","",N15)</f>
        <v>46575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N15" s="56" t="n">
        <f aca="false">$N$1+MIN(MOD(הגדרות!$D$19-WEEKDAY($N$1),7),MOD(הגדרות!$D$20-WEEKDAY($N$1),7))</f>
        <v>46575</v>
      </c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f aca="false">IF(N16="","",N16)</f>
        <v>46582</v>
      </c>
      <c r="C16" s="35" t="str">
        <f aca="false">IF(B16="","",INDEX(הגדרות!$F$5:$F$11,WEEKDAY(B16)))</f>
        <v>רביעי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N16" s="56" t="n">
        <f aca="false">IF(N15="","",IF(N15+MIN(MOD(הגדרות!$D$19-WEEKDAY(N15)-1,7)+1,MOD(הגדרות!$D$20-WEEKDAY(N15)-1,7)+1)&gt;$N$2,"",N15+MIN(MOD(הגדרות!$D$19-WEEKDAY(N15)-1,7)+1,MOD(הגדרות!$D$20-WEEKDAY(N15)-1,7)+1)))</f>
        <v>46582</v>
      </c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f aca="false">IF(N17="","",N17)</f>
        <v>46589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N17" s="56" t="n">
        <f aca="false">IF(N16="","",IF(N16+MIN(MOD(הגדרות!$D$19-WEEKDAY(N16)-1,7)+1,MOD(הגדרות!$D$20-WEEKDAY(N16)-1,7)+1)&gt;$N$2,"",N16+MIN(MOD(הגדרות!$D$19-WEEKDAY(N16)-1,7)+1,MOD(הגדרות!$D$20-WEEKDAY(N16)-1,7)+1)))</f>
        <v>46589</v>
      </c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f aca="false">IF(N18="","",N18)</f>
        <v>46596</v>
      </c>
      <c r="C18" s="35" t="str">
        <f aca="false">IF(B18="","",INDEX(הגדרות!$F$5:$F$11,WEEKDAY(B18)))</f>
        <v>רביעי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N18" s="56" t="n">
        <f aca="false">IF(N17="","",IF(N17+MIN(MOD(הגדרות!$D$19-WEEKDAY(N17)-1,7)+1,MOD(הגדרות!$D$20-WEEKDAY(N17)-1,7)+1)&gt;$N$2,"",N17+MIN(MOD(הגדרות!$D$19-WEEKDAY(N17)-1,7)+1,MOD(הגדרות!$D$20-WEEKDAY(N17)-1,7)+1)))</f>
        <v>46596</v>
      </c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str">
        <f aca="false">IF(B19="","",COUNT($B$15:B19))</f>
        <v/>
      </c>
      <c r="B19" s="36" t="str">
        <f aca="false">IF(N19="","",N19)</f>
        <v/>
      </c>
      <c r="C19" s="35" t="str">
        <f aca="false">IF(B19="","",INDEX(הגדרות!$F$5:$F$11,WEEKDAY(B19)))</f>
        <v/>
      </c>
      <c r="D19" s="37" t="s">
        <v>108</v>
      </c>
      <c r="E19" s="38" t="str">
        <f aca="false">IF(B19="","",הגדרות!$C$28)</f>
        <v/>
      </c>
      <c r="F19" s="38"/>
      <c r="G19" s="39" t="str">
        <f aca="false">IF(B19="","",IF(O19=0,0,MIN(הגדרות!$C$29,MAX(E19,F19))))</f>
        <v/>
      </c>
      <c r="H19" s="40" t="str">
        <f aca="false">IF(B19="","",O19*הגדרות!$C$26)</f>
        <v/>
      </c>
      <c r="I19" s="40" t="str">
        <f aca="false">IF(B19="","",O19*G19*הגדרות!$C$27)</f>
        <v/>
      </c>
      <c r="J19" s="41" t="str">
        <f aca="false">IF(B19="","",H19+I19)</f>
        <v/>
      </c>
      <c r="K19" s="42"/>
      <c r="L19" s="43"/>
      <c r="N19" s="56" t="str">
        <f aca="false">IF(N18="","",IF(N18+MIN(MOD(הגדרות!$D$19-WEEKDAY(N18)-1,7)+1,MOD(הגדרות!$D$20-WEEKDAY(N18)-1,7)+1)&gt;$N$2,"",N18+MIN(MOD(הגדרות!$D$19-WEEKDAY(N18)-1,7)+1,MOD(הגדרות!$D$20-WEEKDAY(N18)-1,7)+1)))</f>
        <v/>
      </c>
      <c r="O19" s="0" t="str">
        <f aca="false">IF(B19="","",IF(D19="בוטל בהתראה",0,IF(D19="בוטל ללא התראה",הגדרות!$C$30,1)))</f>
        <v/>
      </c>
    </row>
    <row r="20" customFormat="false" ht="21" hidden="false" customHeight="true" outlineLevel="0" collapsed="false">
      <c r="A20" s="35" t="str">
        <f aca="false">IF(B20="","",COUNT($B$15:B20))</f>
        <v/>
      </c>
      <c r="B20" s="36" t="str">
        <f aca="false">IF(N20="","",N20)</f>
        <v/>
      </c>
      <c r="C20" s="35" t="str">
        <f aca="false">IF(B20="","",INDEX(הגדרות!$F$5:$F$11,WEEKDAY(B20)))</f>
        <v/>
      </c>
      <c r="D20" s="37" t="s">
        <v>108</v>
      </c>
      <c r="E20" s="38" t="str">
        <f aca="false">IF(B20="","",הגדרות!$C$28)</f>
        <v/>
      </c>
      <c r="F20" s="38"/>
      <c r="G20" s="39" t="str">
        <f aca="false">IF(B20="","",IF(O20=0,0,MIN(הגדרות!$C$29,MAX(E20,F20))))</f>
        <v/>
      </c>
      <c r="H20" s="40" t="str">
        <f aca="false">IF(B20="","",O20*הגדרות!$C$26)</f>
        <v/>
      </c>
      <c r="I20" s="40" t="str">
        <f aca="false">IF(B20="","",O20*G20*הגדרות!$C$27)</f>
        <v/>
      </c>
      <c r="J20" s="41" t="str">
        <f aca="false">IF(B20="","",H20+I20)</f>
        <v/>
      </c>
      <c r="K20" s="42"/>
      <c r="L20" s="43"/>
      <c r="N20" s="56" t="str">
        <f aca="false">IF(N19="","",IF(N19+MIN(MOD(הגדרות!$D$19-WEEKDAY(N19)-1,7)+1,MOD(הגדרות!$D$20-WEEKDAY(N19)-1,7)+1)&gt;$N$2,"",N19+MIN(MOD(הגדרות!$D$19-WEEKDAY(N19)-1,7)+1,MOD(הגדרות!$D$20-WEEKDAY(N19)-1,7)+1)))</f>
        <v/>
      </c>
      <c r="O20" s="0" t="str">
        <f aca="false">IF(B20="","",IF(D20="בוטל בהתראה",0,IF(D20="בוטל ללא התראה",הגדרות!$C$30,1)))</f>
        <v/>
      </c>
    </row>
    <row r="21" customFormat="false" ht="21" hidden="false" customHeight="true" outlineLevel="0" collapsed="false">
      <c r="A21" s="35" t="str">
        <f aca="false">IF(B21="","",COUNT($B$15:B21))</f>
        <v/>
      </c>
      <c r="B21" s="36" t="str">
        <f aca="false">IF(N21="","",N21)</f>
        <v/>
      </c>
      <c r="C21" s="35" t="str">
        <f aca="false">IF(B21="","",INDEX(הגדרות!$F$5:$F$11,WEEKDAY(B21)))</f>
        <v/>
      </c>
      <c r="D21" s="37" t="s">
        <v>108</v>
      </c>
      <c r="E21" s="38" t="str">
        <f aca="false">IF(B21="","",הגדרות!$C$28)</f>
        <v/>
      </c>
      <c r="F21" s="38"/>
      <c r="G21" s="39" t="str">
        <f aca="false">IF(B21="","",IF(O21=0,0,MIN(הגדרות!$C$29,MAX(E21,F21))))</f>
        <v/>
      </c>
      <c r="H21" s="40" t="str">
        <f aca="false">IF(B21="","",O21*הגדרות!$C$26)</f>
        <v/>
      </c>
      <c r="I21" s="40" t="str">
        <f aca="false">IF(B21="","",O21*G21*הגדרות!$C$27)</f>
        <v/>
      </c>
      <c r="J21" s="41" t="str">
        <f aca="false">IF(B21="","",H21+I21)</f>
        <v/>
      </c>
      <c r="K21" s="42"/>
      <c r="L21" s="43"/>
      <c r="N21" s="56" t="str">
        <f aca="false">IF(N20="","",IF(N20+MIN(MOD(הגדרות!$D$19-WEEKDAY(N20)-1,7)+1,MOD(הגדרות!$D$20-WEEKDAY(N20)-1,7)+1)&gt;$N$2,"",N20+MIN(MOD(הגדרות!$D$19-WEEKDAY(N20)-1,7)+1,MOD(הגדרות!$D$20-WEEKDAY(N20)-1,7)+1)))</f>
        <v/>
      </c>
      <c r="O21" s="0" t="str">
        <f aca="false">IF(B21="","",IF(D21="בוטל בהתראה",0,IF(D21="בוטל ללא התראה",הגדרות!$C$30,1)))</f>
        <v/>
      </c>
    </row>
    <row r="22" customFormat="false" ht="21" hidden="false" customHeight="true" outlineLevel="0" collapsed="false">
      <c r="A22" s="35" t="str">
        <f aca="false">IF(B22="","",COUNT($B$15:B22))</f>
        <v/>
      </c>
      <c r="B22" s="36" t="str">
        <f aca="false">IF(N22="","",N22)</f>
        <v/>
      </c>
      <c r="C22" s="35" t="str">
        <f aca="false">IF(B22="","",INDEX(הגדרות!$F$5:$F$11,WEEKDAY(B22)))</f>
        <v/>
      </c>
      <c r="D22" s="37" t="s">
        <v>108</v>
      </c>
      <c r="E22" s="38" t="str">
        <f aca="false">IF(B22="","",הגדרות!$C$28)</f>
        <v/>
      </c>
      <c r="F22" s="38"/>
      <c r="G22" s="39" t="str">
        <f aca="false">IF(B22="","",IF(O22=0,0,MIN(הגדרות!$C$29,MAX(E22,F22))))</f>
        <v/>
      </c>
      <c r="H22" s="40" t="str">
        <f aca="false">IF(B22="","",O22*הגדרות!$C$26)</f>
        <v/>
      </c>
      <c r="I22" s="40" t="str">
        <f aca="false">IF(B22="","",O22*G22*הגדרות!$C$27)</f>
        <v/>
      </c>
      <c r="J22" s="41" t="str">
        <f aca="false">IF(B22="","",H22+I22)</f>
        <v/>
      </c>
      <c r="K22" s="42"/>
      <c r="L22" s="43"/>
      <c r="N22" s="56" t="str">
        <f aca="false">IF(N21="","",IF(N21+MIN(MOD(הגדרות!$D$19-WEEKDAY(N21)-1,7)+1,MOD(הגדרות!$D$20-WEEKDAY(N21)-1,7)+1)&gt;$N$2,"",N21+MIN(MOD(הגדרות!$D$19-WEEKDAY(N21)-1,7)+1,MOD(הגדרות!$D$20-WEEKDAY(N21)-1,7)+1)))</f>
        <v/>
      </c>
      <c r="O22" s="0" t="str">
        <f aca="false">IF(B22="","",IF(D22="בוטל בהתראה",0,IF(D22="בוטל ללא התראה",הגדרות!$C$30,1)))</f>
        <v/>
      </c>
    </row>
    <row r="23" customFormat="false" ht="21" hidden="false" customHeight="true" outlineLevel="0" collapsed="false">
      <c r="A23" s="35" t="str">
        <f aca="false">IF(B23="","",COUNT($B$15:B23))</f>
        <v/>
      </c>
      <c r="B23" s="36" t="str">
        <f aca="false">IF(N23="","",N23)</f>
        <v/>
      </c>
      <c r="C23" s="35" t="str">
        <f aca="false">IF(B23="","",INDEX(הגדרות!$F$5:$F$11,WEEKDAY(B23)))</f>
        <v/>
      </c>
      <c r="D23" s="37" t="s">
        <v>108</v>
      </c>
      <c r="E23" s="38" t="str">
        <f aca="false">IF(B23="","",הגדרות!$C$28)</f>
        <v/>
      </c>
      <c r="F23" s="38"/>
      <c r="G23" s="39" t="str">
        <f aca="false">IF(B23="","",IF(O23=0,0,MIN(הגדרות!$C$29,MAX(E23,F23))))</f>
        <v/>
      </c>
      <c r="H23" s="40" t="str">
        <f aca="false">IF(B23="","",O23*הגדרות!$C$26)</f>
        <v/>
      </c>
      <c r="I23" s="40" t="str">
        <f aca="false">IF(B23="","",O23*G23*הגדרות!$C$27)</f>
        <v/>
      </c>
      <c r="J23" s="41" t="str">
        <f aca="false">IF(B23="","",H23+I23)</f>
        <v/>
      </c>
      <c r="K23" s="42"/>
      <c r="L23" s="43"/>
      <c r="N23" s="56" t="str">
        <f aca="false">IF(N22="","",IF(N22+MIN(MOD(הגדרות!$D$19-WEEKDAY(N22)-1,7)+1,MOD(הגדרות!$D$20-WEEKDAY(N22)-1,7)+1)&gt;$N$2,"",N22+MIN(MOD(הגדרות!$D$19-WEEKDAY(N22)-1,7)+1,MOD(הגדרות!$D$20-WEEKDAY(N22)-1,7)+1)))</f>
        <v/>
      </c>
      <c r="O23" s="0" t="str">
        <f aca="false">IF(B23="","",IF(D23="בוטל בהתראה",0,IF(D23="בוטל ללא התראה",הגדרות!$C$30,1)))</f>
        <v/>
      </c>
    </row>
    <row r="24" customFormat="false" ht="21" hidden="false" customHeight="true" outlineLevel="0" collapsed="false">
      <c r="A24" s="35" t="str">
        <f aca="false">IF(B24="","",COUNT($B$15:B24))</f>
        <v/>
      </c>
      <c r="B24" s="36" t="str">
        <f aca="false">IF(N24="","",N24)</f>
        <v/>
      </c>
      <c r="C24" s="35" t="str">
        <f aca="false">IF(B24="","",INDEX(הגדרות!$F$5:$F$11,WEEKDAY(B24)))</f>
        <v/>
      </c>
      <c r="D24" s="37" t="s">
        <v>108</v>
      </c>
      <c r="E24" s="38" t="str">
        <f aca="false">IF(B24="","",הגדרות!$C$28)</f>
        <v/>
      </c>
      <c r="F24" s="38"/>
      <c r="G24" s="39" t="str">
        <f aca="false">IF(B24="","",IF(O24=0,0,MIN(הגדרות!$C$29,MAX(E24,F24))))</f>
        <v/>
      </c>
      <c r="H24" s="40" t="str">
        <f aca="false">IF(B24="","",O24*הגדרות!$C$26)</f>
        <v/>
      </c>
      <c r="I24" s="40" t="str">
        <f aca="false">IF(B24="","",O24*G24*הגדרות!$C$27)</f>
        <v/>
      </c>
      <c r="J24" s="41" t="str">
        <f aca="false">IF(B24="","",H24+I24)</f>
        <v/>
      </c>
      <c r="K24" s="42"/>
      <c r="L24" s="43"/>
      <c r="N24" s="56" t="str">
        <f aca="false">IF(N23="","",IF(N23+MIN(MOD(הגדרות!$D$19-WEEKDAY(N23)-1,7)+1,MOD(הגדרות!$D$20-WEEKDAY(N23)-1,7)+1)&gt;$N$2,"",N23+MIN(MOD(הגדרות!$D$19-WEEKDAY(N23)-1,7)+1,MOD(הגדרות!$D$20-WEEKDAY(N23)-1,7)+1)))</f>
        <v/>
      </c>
      <c r="O24" s="0" t="str">
        <f aca="false">IF(B24="","",IF(D24="בוטל בהתראה",0,IF(D24="בוטל ללא התראה",הגדרות!$C$30,1)))</f>
        <v/>
      </c>
    </row>
    <row r="25" customFormat="false" ht="21.75" hidden="false" customHeight="true" outlineLevel="0" collapsed="false">
      <c r="A25" s="45" t="s">
        <v>109</v>
      </c>
      <c r="B25" s="45"/>
      <c r="C25" s="45"/>
      <c r="D25" s="45"/>
      <c r="E25" s="45"/>
      <c r="F25" s="45"/>
      <c r="G25" s="46" t="n">
        <f aca="false">SUM(G15:G24)</f>
        <v>24</v>
      </c>
      <c r="H25" s="47" t="n">
        <f aca="false">SUM(H15:H24)</f>
        <v>5200</v>
      </c>
      <c r="I25" s="47" t="n">
        <f aca="false">SUM(I15:I24)</f>
        <v>2400</v>
      </c>
      <c r="J25" s="47" t="n">
        <f aca="false">SUM(J15:J24)</f>
        <v>7600</v>
      </c>
      <c r="K25" s="45"/>
      <c r="L25" s="47" t="n">
        <f aca="false">SUM(L15:L24)</f>
        <v>0</v>
      </c>
    </row>
    <row r="26" customFormat="false" ht="25.5" hidden="false" customHeight="true" outlineLevel="0" collapsed="false">
      <c r="A26" s="48" t="s">
        <v>110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8" customFormat="false" ht="19.5" hidden="false" customHeight="true" outlineLevel="0" collapsed="false">
      <c r="A28" s="49" t="s">
        <v>111</v>
      </c>
      <c r="B28" s="49"/>
      <c r="C28" s="49"/>
      <c r="D28" s="49"/>
      <c r="E28" s="49"/>
      <c r="F28" s="49"/>
      <c r="G28" s="49"/>
      <c r="H28" s="50" t="str">
        <f aca="false">"תשלום בסיסי ("&amp;COUNTIF(O15:O24,"&gt;0")&amp;" מפגשים)"</f>
        <v>תשלום בסיסי (4 מפגשים)</v>
      </c>
      <c r="I28" s="50"/>
      <c r="J28" s="50"/>
      <c r="K28" s="50"/>
      <c r="L28" s="40" t="n">
        <f aca="false">H25</f>
        <v>5200</v>
      </c>
    </row>
    <row r="29" customFormat="false" ht="39.75" hidden="false" customHeight="true" outlineLevel="0" collapsed="false">
      <c r="A29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29" s="51"/>
      <c r="C29" s="51"/>
      <c r="D29" s="51"/>
      <c r="E29" s="51"/>
      <c r="F29" s="51"/>
      <c r="G29" s="51"/>
      <c r="H29" s="50" t="str">
        <f aca="false">"תקציב עץ ("&amp;G25&amp;" משתתפים)"</f>
        <v>תקציב עץ (24 משתתפים)</v>
      </c>
      <c r="I29" s="50"/>
      <c r="J29" s="50"/>
      <c r="K29" s="50"/>
      <c r="L29" s="40" t="n">
        <f aca="false">I25</f>
        <v>2400</v>
      </c>
    </row>
    <row r="30" customFormat="false" ht="27.75" hidden="false" customHeight="true" outlineLevel="0" collapsed="false">
      <c r="A30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0" s="51"/>
      <c r="C30" s="51"/>
      <c r="D30" s="51"/>
      <c r="E30" s="51"/>
      <c r="F30" s="51"/>
      <c r="G30" s="51"/>
      <c r="H30" s="50" t="s">
        <v>112</v>
      </c>
      <c r="I30" s="50"/>
      <c r="J30" s="50"/>
      <c r="K30" s="50"/>
      <c r="L30" s="40" t="n">
        <f aca="false">L25</f>
        <v>0</v>
      </c>
    </row>
    <row r="31" customFormat="false" ht="19.5" hidden="false" customHeight="true" outlineLevel="0" collapsed="false">
      <c r="A31" s="51" t="str">
        <f aca="false">"• תקציב עץ: "&amp;TEXT(הגדרות!$C$27,"#,##0")&amp;" ₪ למשתתף."</f>
        <v>• תקציב עץ: 100 ₪ למשתתף.</v>
      </c>
      <c r="B31" s="51"/>
      <c r="C31" s="51"/>
      <c r="D31" s="51"/>
      <c r="E31" s="51"/>
      <c r="F31" s="51"/>
      <c r="G31" s="51"/>
      <c r="H31" s="52" t="s">
        <v>113</v>
      </c>
      <c r="I31" s="52"/>
      <c r="J31" s="52"/>
      <c r="K31" s="52"/>
      <c r="L31" s="41" t="n">
        <f aca="false">L28+L29+L30</f>
        <v>7600</v>
      </c>
    </row>
    <row r="32" customFormat="false" ht="19.5" hidden="false" customHeight="true" outlineLevel="0" collapsed="false">
      <c r="A32" s="51" t="str">
        <f aca="false">IF(הגדרות!$C$34="","","• "&amp;הגדרות!$C$34)</f>
        <v>• המחירים אינם כוללים מע״מ. מע״מ יתווסף כחוק.</v>
      </c>
      <c r="B32" s="51"/>
      <c r="C32" s="51"/>
      <c r="D32" s="51"/>
      <c r="E32" s="51"/>
      <c r="F32" s="51"/>
      <c r="G32" s="51"/>
      <c r="H32" s="50" t="str">
        <f aca="false">"מע״מ "&amp;ROUND(הגדרות!$C$31*100,1)&amp;"%"</f>
        <v>מע״מ 18%</v>
      </c>
      <c r="I32" s="50"/>
      <c r="J32" s="50"/>
      <c r="K32" s="50"/>
      <c r="L32" s="40" t="n">
        <f aca="false">ROUND(L31*הגדרות!$C$31,2)</f>
        <v>1368</v>
      </c>
    </row>
    <row r="33" customFormat="false" ht="27.75" hidden="false" customHeight="true" outlineLevel="0" collapsed="false">
      <c r="A33" s="51" t="str">
        <f aca="false">IF(הגדרות!$C$35="","","• "&amp;הגדרות!$C$35)</f>
        <v>• פרויקטים גדולים ומיוחדים מתומחרים בנפרד לפי עלות החומרים, באישור החווה.</v>
      </c>
      <c r="B33" s="51"/>
      <c r="C33" s="51"/>
      <c r="D33" s="51"/>
      <c r="E33" s="51"/>
      <c r="F33" s="51"/>
      <c r="G33" s="51"/>
      <c r="H33" s="53" t="s">
        <v>114</v>
      </c>
      <c r="I33" s="53"/>
      <c r="J33" s="53"/>
      <c r="K33" s="53"/>
      <c r="L33" s="54" t="n">
        <f aca="false">L31+L32</f>
        <v>8968</v>
      </c>
    </row>
    <row r="34" customFormat="false" ht="15" hidden="false" customHeight="false" outlineLevel="0" collapsed="false">
      <c r="A34" s="51" t="str">
        <f aca="false">IF(הגדרות!$C$36="","","• "&amp;הגדרות!$C$36)</f>
        <v/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9" t="s">
        <v>115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5.75" hidden="false" customHeight="true" outlineLevel="0" collapsed="false">
      <c r="A36" s="51" t="str">
        <f aca="false">"• "&amp;הגדרות!$C$39</f>
        <v>• ביטול מלא של הסדנא: ביטול של עד 48 שעות לפני מועד הסדנא – ללא חיוב.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customFormat="false" ht="15.75" hidden="false" customHeight="true" outlineLevel="0" collapsed="false">
      <c r="A37" s="51" t="str">
        <f aca="false">"• "&amp;הגדרות!$C$40</f>
        <v>• מספר המשתתפים: הסדנא מתוכננת ומוכנה מראש בהתאם למספר המשתתפים שסוכם, עד 6 משתתפים.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15.75" hidden="false" customHeight="true" outlineLevel="0" collapsed="false">
      <c r="A38" s="51" t="str">
        <f aca="false">"• "&amp;הגדרות!$C$41</f>
        <v>• הפחתת מספר המשתתפים: יש לעדכן על שינוי במספר המשתתפים עד 24 שעות לפני הסדנא.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5.5" hidden="false" customHeight="true" outlineLevel="0" collapsed="false">
      <c r="A39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2" customFormat="false" ht="15" hidden="false" customHeight="false" outlineLevel="0" collapsed="false">
      <c r="A42" s="55" t="str">
        <f aca="false">"בברכה, "&amp;הגדרות!$C$6</f>
        <v>בברכה, (למילוי)</v>
      </c>
      <c r="B42" s="55"/>
      <c r="C42" s="55"/>
      <c r="D42" s="55"/>
      <c r="E42" s="55"/>
      <c r="H42" s="55" t="s">
        <v>116</v>
      </c>
      <c r="I42" s="55"/>
      <c r="J42" s="55"/>
      <c r="K42" s="55"/>
      <c r="L42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25:F25"/>
    <mergeCell ref="A26:L26"/>
    <mergeCell ref="A28:G28"/>
    <mergeCell ref="H28:K28"/>
    <mergeCell ref="A29:G29"/>
    <mergeCell ref="H29:K29"/>
    <mergeCell ref="A30:G30"/>
    <mergeCell ref="H30:K30"/>
    <mergeCell ref="A31:G31"/>
    <mergeCell ref="H31:K31"/>
    <mergeCell ref="A32:G32"/>
    <mergeCell ref="H32:K32"/>
    <mergeCell ref="A33:G33"/>
    <mergeCell ref="H33:K33"/>
    <mergeCell ref="A34:G34"/>
    <mergeCell ref="A35:L35"/>
    <mergeCell ref="A36:L36"/>
    <mergeCell ref="A37:L37"/>
    <mergeCell ref="A38:L38"/>
    <mergeCell ref="A39:L39"/>
    <mergeCell ref="A42:E42"/>
    <mergeCell ref="H42:L42"/>
  </mergeCells>
  <conditionalFormatting sqref="D15:D24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24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24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24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24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56" t="n">
        <f aca="false">DATE(YEAR($I$11),MONTH($I$11),1)</f>
        <v>46600</v>
      </c>
    </row>
    <row r="2" customFormat="false" ht="24" hidden="false" customHeight="true" outlineLevel="0" collapsed="false">
      <c r="A2" s="25" t="str">
        <f aca="false">הגדרות!$C$17&amp;" · "&amp;"מפגש שבועי בימי "&amp;הגדרות!$C$19&amp;IF(הגדרות!$C$20="",""," ו"&amp;הגדרות!$C$20)&amp;IF(הגדרות!$C$18="",""," ("&amp;הגדרות!$C$18&amp;")")&amp;" · "&amp;CHOOSE(MONTH($N$1),"ינואר","פברואר","מרץ","אפריל","מאי","יוני","יולי","אוגוסט","ספטמבר","אוקטובר","נובמבר","דצמבר")&amp;" "&amp;YEAR($N$1)</f>
        <v>תכנית חוסן · מפגש שבועי בימי רביעי (הוותיקה) · אוגוסט 2027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N2" s="56" t="n">
        <f aca="false">EOMONTH($N$1,0)</f>
        <v>46630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tr">
        <f aca="false">"חוסן-"&amp;YEAR($N$1)&amp;"-"&amp;TEXT(MONTH($N$1),"00")</f>
        <v>חוסן-2027-08</v>
      </c>
      <c r="D11" s="28"/>
      <c r="E11" s="28"/>
      <c r="G11" s="27" t="s">
        <v>117</v>
      </c>
      <c r="H11" s="27"/>
      <c r="I11" s="57" t="n">
        <v>46600</v>
      </c>
      <c r="J11" s="57"/>
      <c r="K11" s="57"/>
      <c r="L11" s="57"/>
    </row>
    <row r="12" customFormat="false" ht="15" hidden="false" customHeight="false" outlineLevel="0" collapsed="false">
      <c r="A12" s="27" t="s">
        <v>96</v>
      </c>
      <c r="B12" s="27"/>
      <c r="C12" s="58" t="n">
        <f aca="false">$N$2</f>
        <v>46630</v>
      </c>
      <c r="D12" s="58"/>
      <c r="E12" s="58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f aca="false">IF(N15="","",N15)</f>
        <v>46603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N15" s="56" t="n">
        <f aca="false">$N$1+MIN(MOD(הגדרות!$D$19-WEEKDAY($N$1),7),MOD(הגדרות!$D$20-WEEKDAY($N$1),7))</f>
        <v>46603</v>
      </c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f aca="false">IF(N16="","",N16)</f>
        <v>46610</v>
      </c>
      <c r="C16" s="35" t="str">
        <f aca="false">IF(B16="","",INDEX(הגדרות!$F$5:$F$11,WEEKDAY(B16)))</f>
        <v>רביעי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N16" s="56" t="n">
        <f aca="false">IF(N15="","",IF(N15+MIN(MOD(הגדרות!$D$19-WEEKDAY(N15)-1,7)+1,MOD(הגדרות!$D$20-WEEKDAY(N15)-1,7)+1)&gt;$N$2,"",N15+MIN(MOD(הגדרות!$D$19-WEEKDAY(N15)-1,7)+1,MOD(הגדרות!$D$20-WEEKDAY(N15)-1,7)+1)))</f>
        <v>46610</v>
      </c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f aca="false">IF(N17="","",N17)</f>
        <v>46617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N17" s="56" t="n">
        <f aca="false">IF(N16="","",IF(N16+MIN(MOD(הגדרות!$D$19-WEEKDAY(N16)-1,7)+1,MOD(הגדרות!$D$20-WEEKDAY(N16)-1,7)+1)&gt;$N$2,"",N16+MIN(MOD(הגדרות!$D$19-WEEKDAY(N16)-1,7)+1,MOD(הגדרות!$D$20-WEEKDAY(N16)-1,7)+1)))</f>
        <v>46617</v>
      </c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f aca="false">IF(N18="","",N18)</f>
        <v>46624</v>
      </c>
      <c r="C18" s="35" t="str">
        <f aca="false">IF(B18="","",INDEX(הגדרות!$F$5:$F$11,WEEKDAY(B18)))</f>
        <v>רביעי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N18" s="56" t="n">
        <f aca="false">IF(N17="","",IF(N17+MIN(MOD(הגדרות!$D$19-WEEKDAY(N17)-1,7)+1,MOD(הגדרות!$D$20-WEEKDAY(N17)-1,7)+1)&gt;$N$2,"",N17+MIN(MOD(הגדרות!$D$19-WEEKDAY(N17)-1,7)+1,MOD(הגדרות!$D$20-WEEKDAY(N17)-1,7)+1)))</f>
        <v>46624</v>
      </c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str">
        <f aca="false">IF(B19="","",COUNT($B$15:B19))</f>
        <v/>
      </c>
      <c r="B19" s="36" t="str">
        <f aca="false">IF(N19="","",N19)</f>
        <v/>
      </c>
      <c r="C19" s="35" t="str">
        <f aca="false">IF(B19="","",INDEX(הגדרות!$F$5:$F$11,WEEKDAY(B19)))</f>
        <v/>
      </c>
      <c r="D19" s="37" t="s">
        <v>108</v>
      </c>
      <c r="E19" s="38" t="str">
        <f aca="false">IF(B19="","",הגדרות!$C$28)</f>
        <v/>
      </c>
      <c r="F19" s="38"/>
      <c r="G19" s="39" t="str">
        <f aca="false">IF(B19="","",IF(O19=0,0,MIN(הגדרות!$C$29,MAX(E19,F19))))</f>
        <v/>
      </c>
      <c r="H19" s="40" t="str">
        <f aca="false">IF(B19="","",O19*הגדרות!$C$26)</f>
        <v/>
      </c>
      <c r="I19" s="40" t="str">
        <f aca="false">IF(B19="","",O19*G19*הגדרות!$C$27)</f>
        <v/>
      </c>
      <c r="J19" s="41" t="str">
        <f aca="false">IF(B19="","",H19+I19)</f>
        <v/>
      </c>
      <c r="K19" s="42"/>
      <c r="L19" s="43"/>
      <c r="N19" s="56" t="str">
        <f aca="false">IF(N18="","",IF(N18+MIN(MOD(הגדרות!$D$19-WEEKDAY(N18)-1,7)+1,MOD(הגדרות!$D$20-WEEKDAY(N18)-1,7)+1)&gt;$N$2,"",N18+MIN(MOD(הגדרות!$D$19-WEEKDAY(N18)-1,7)+1,MOD(הגדרות!$D$20-WEEKDAY(N18)-1,7)+1)))</f>
        <v/>
      </c>
      <c r="O19" s="0" t="str">
        <f aca="false">IF(B19="","",IF(D19="בוטל בהתראה",0,IF(D19="בוטל ללא התראה",הגדרות!$C$30,1)))</f>
        <v/>
      </c>
    </row>
    <row r="20" customFormat="false" ht="21" hidden="false" customHeight="true" outlineLevel="0" collapsed="false">
      <c r="A20" s="35" t="str">
        <f aca="false">IF(B20="","",COUNT($B$15:B20))</f>
        <v/>
      </c>
      <c r="B20" s="36" t="str">
        <f aca="false">IF(N20="","",N20)</f>
        <v/>
      </c>
      <c r="C20" s="35" t="str">
        <f aca="false">IF(B20="","",INDEX(הגדרות!$F$5:$F$11,WEEKDAY(B20)))</f>
        <v/>
      </c>
      <c r="D20" s="37" t="s">
        <v>108</v>
      </c>
      <c r="E20" s="38" t="str">
        <f aca="false">IF(B20="","",הגדרות!$C$28)</f>
        <v/>
      </c>
      <c r="F20" s="38"/>
      <c r="G20" s="39" t="str">
        <f aca="false">IF(B20="","",IF(O20=0,0,MIN(הגדרות!$C$29,MAX(E20,F20))))</f>
        <v/>
      </c>
      <c r="H20" s="40" t="str">
        <f aca="false">IF(B20="","",O20*הגדרות!$C$26)</f>
        <v/>
      </c>
      <c r="I20" s="40" t="str">
        <f aca="false">IF(B20="","",O20*G20*הגדרות!$C$27)</f>
        <v/>
      </c>
      <c r="J20" s="41" t="str">
        <f aca="false">IF(B20="","",H20+I20)</f>
        <v/>
      </c>
      <c r="K20" s="42"/>
      <c r="L20" s="43"/>
      <c r="N20" s="56" t="str">
        <f aca="false">IF(N19="","",IF(N19+MIN(MOD(הגדרות!$D$19-WEEKDAY(N19)-1,7)+1,MOD(הגדרות!$D$20-WEEKDAY(N19)-1,7)+1)&gt;$N$2,"",N19+MIN(MOD(הגדרות!$D$19-WEEKDAY(N19)-1,7)+1,MOD(הגדרות!$D$20-WEEKDAY(N19)-1,7)+1)))</f>
        <v/>
      </c>
      <c r="O20" s="0" t="str">
        <f aca="false">IF(B20="","",IF(D20="בוטל בהתראה",0,IF(D20="בוטל ללא התראה",הגדרות!$C$30,1)))</f>
        <v/>
      </c>
    </row>
    <row r="21" customFormat="false" ht="21" hidden="false" customHeight="true" outlineLevel="0" collapsed="false">
      <c r="A21" s="35" t="str">
        <f aca="false">IF(B21="","",COUNT($B$15:B21))</f>
        <v/>
      </c>
      <c r="B21" s="36" t="str">
        <f aca="false">IF(N21="","",N21)</f>
        <v/>
      </c>
      <c r="C21" s="35" t="str">
        <f aca="false">IF(B21="","",INDEX(הגדרות!$F$5:$F$11,WEEKDAY(B21)))</f>
        <v/>
      </c>
      <c r="D21" s="37" t="s">
        <v>108</v>
      </c>
      <c r="E21" s="38" t="str">
        <f aca="false">IF(B21="","",הגדרות!$C$28)</f>
        <v/>
      </c>
      <c r="F21" s="38"/>
      <c r="G21" s="39" t="str">
        <f aca="false">IF(B21="","",IF(O21=0,0,MIN(הגדרות!$C$29,MAX(E21,F21))))</f>
        <v/>
      </c>
      <c r="H21" s="40" t="str">
        <f aca="false">IF(B21="","",O21*הגדרות!$C$26)</f>
        <v/>
      </c>
      <c r="I21" s="40" t="str">
        <f aca="false">IF(B21="","",O21*G21*הגדרות!$C$27)</f>
        <v/>
      </c>
      <c r="J21" s="41" t="str">
        <f aca="false">IF(B21="","",H21+I21)</f>
        <v/>
      </c>
      <c r="K21" s="42"/>
      <c r="L21" s="43"/>
      <c r="N21" s="56" t="str">
        <f aca="false">IF(N20="","",IF(N20+MIN(MOD(הגדרות!$D$19-WEEKDAY(N20)-1,7)+1,MOD(הגדרות!$D$20-WEEKDAY(N20)-1,7)+1)&gt;$N$2,"",N20+MIN(MOD(הגדרות!$D$19-WEEKDAY(N20)-1,7)+1,MOD(הגדרות!$D$20-WEEKDAY(N20)-1,7)+1)))</f>
        <v/>
      </c>
      <c r="O21" s="0" t="str">
        <f aca="false">IF(B21="","",IF(D21="בוטל בהתראה",0,IF(D21="בוטל ללא התראה",הגדרות!$C$30,1)))</f>
        <v/>
      </c>
    </row>
    <row r="22" customFormat="false" ht="21" hidden="false" customHeight="true" outlineLevel="0" collapsed="false">
      <c r="A22" s="35" t="str">
        <f aca="false">IF(B22="","",COUNT($B$15:B22))</f>
        <v/>
      </c>
      <c r="B22" s="36" t="str">
        <f aca="false">IF(N22="","",N22)</f>
        <v/>
      </c>
      <c r="C22" s="35" t="str">
        <f aca="false">IF(B22="","",INDEX(הגדרות!$F$5:$F$11,WEEKDAY(B22)))</f>
        <v/>
      </c>
      <c r="D22" s="37" t="s">
        <v>108</v>
      </c>
      <c r="E22" s="38" t="str">
        <f aca="false">IF(B22="","",הגדרות!$C$28)</f>
        <v/>
      </c>
      <c r="F22" s="38"/>
      <c r="G22" s="39" t="str">
        <f aca="false">IF(B22="","",IF(O22=0,0,MIN(הגדרות!$C$29,MAX(E22,F22))))</f>
        <v/>
      </c>
      <c r="H22" s="40" t="str">
        <f aca="false">IF(B22="","",O22*הגדרות!$C$26)</f>
        <v/>
      </c>
      <c r="I22" s="40" t="str">
        <f aca="false">IF(B22="","",O22*G22*הגדרות!$C$27)</f>
        <v/>
      </c>
      <c r="J22" s="41" t="str">
        <f aca="false">IF(B22="","",H22+I22)</f>
        <v/>
      </c>
      <c r="K22" s="42"/>
      <c r="L22" s="43"/>
      <c r="N22" s="56" t="str">
        <f aca="false">IF(N21="","",IF(N21+MIN(MOD(הגדרות!$D$19-WEEKDAY(N21)-1,7)+1,MOD(הגדרות!$D$20-WEEKDAY(N21)-1,7)+1)&gt;$N$2,"",N21+MIN(MOD(הגדרות!$D$19-WEEKDAY(N21)-1,7)+1,MOD(הגדרות!$D$20-WEEKDAY(N21)-1,7)+1)))</f>
        <v/>
      </c>
      <c r="O22" s="0" t="str">
        <f aca="false">IF(B22="","",IF(D22="בוטל בהתראה",0,IF(D22="בוטל ללא התראה",הגדרות!$C$30,1)))</f>
        <v/>
      </c>
    </row>
    <row r="23" customFormat="false" ht="21" hidden="false" customHeight="true" outlineLevel="0" collapsed="false">
      <c r="A23" s="35" t="str">
        <f aca="false">IF(B23="","",COUNT($B$15:B23))</f>
        <v/>
      </c>
      <c r="B23" s="36" t="str">
        <f aca="false">IF(N23="","",N23)</f>
        <v/>
      </c>
      <c r="C23" s="35" t="str">
        <f aca="false">IF(B23="","",INDEX(הגדרות!$F$5:$F$11,WEEKDAY(B23)))</f>
        <v/>
      </c>
      <c r="D23" s="37" t="s">
        <v>108</v>
      </c>
      <c r="E23" s="38" t="str">
        <f aca="false">IF(B23="","",הגדרות!$C$28)</f>
        <v/>
      </c>
      <c r="F23" s="38"/>
      <c r="G23" s="39" t="str">
        <f aca="false">IF(B23="","",IF(O23=0,0,MIN(הגדרות!$C$29,MAX(E23,F23))))</f>
        <v/>
      </c>
      <c r="H23" s="40" t="str">
        <f aca="false">IF(B23="","",O23*הגדרות!$C$26)</f>
        <v/>
      </c>
      <c r="I23" s="40" t="str">
        <f aca="false">IF(B23="","",O23*G23*הגדרות!$C$27)</f>
        <v/>
      </c>
      <c r="J23" s="41" t="str">
        <f aca="false">IF(B23="","",H23+I23)</f>
        <v/>
      </c>
      <c r="K23" s="42"/>
      <c r="L23" s="43"/>
      <c r="N23" s="56" t="str">
        <f aca="false">IF(N22="","",IF(N22+MIN(MOD(הגדרות!$D$19-WEEKDAY(N22)-1,7)+1,MOD(הגדרות!$D$20-WEEKDAY(N22)-1,7)+1)&gt;$N$2,"",N22+MIN(MOD(הגדרות!$D$19-WEEKDAY(N22)-1,7)+1,MOD(הגדרות!$D$20-WEEKDAY(N22)-1,7)+1)))</f>
        <v/>
      </c>
      <c r="O23" s="0" t="str">
        <f aca="false">IF(B23="","",IF(D23="בוטל בהתראה",0,IF(D23="בוטל ללא התראה",הגדרות!$C$30,1)))</f>
        <v/>
      </c>
    </row>
    <row r="24" customFormat="false" ht="21" hidden="false" customHeight="true" outlineLevel="0" collapsed="false">
      <c r="A24" s="35" t="str">
        <f aca="false">IF(B24="","",COUNT($B$15:B24))</f>
        <v/>
      </c>
      <c r="B24" s="36" t="str">
        <f aca="false">IF(N24="","",N24)</f>
        <v/>
      </c>
      <c r="C24" s="35" t="str">
        <f aca="false">IF(B24="","",INDEX(הגדרות!$F$5:$F$11,WEEKDAY(B24)))</f>
        <v/>
      </c>
      <c r="D24" s="37" t="s">
        <v>108</v>
      </c>
      <c r="E24" s="38" t="str">
        <f aca="false">IF(B24="","",הגדרות!$C$28)</f>
        <v/>
      </c>
      <c r="F24" s="38"/>
      <c r="G24" s="39" t="str">
        <f aca="false">IF(B24="","",IF(O24=0,0,MIN(הגדרות!$C$29,MAX(E24,F24))))</f>
        <v/>
      </c>
      <c r="H24" s="40" t="str">
        <f aca="false">IF(B24="","",O24*הגדרות!$C$26)</f>
        <v/>
      </c>
      <c r="I24" s="40" t="str">
        <f aca="false">IF(B24="","",O24*G24*הגדרות!$C$27)</f>
        <v/>
      </c>
      <c r="J24" s="41" t="str">
        <f aca="false">IF(B24="","",H24+I24)</f>
        <v/>
      </c>
      <c r="K24" s="42"/>
      <c r="L24" s="43"/>
      <c r="N24" s="56" t="str">
        <f aca="false">IF(N23="","",IF(N23+MIN(MOD(הגדרות!$D$19-WEEKDAY(N23)-1,7)+1,MOD(הגדרות!$D$20-WEEKDAY(N23)-1,7)+1)&gt;$N$2,"",N23+MIN(MOD(הגדרות!$D$19-WEEKDAY(N23)-1,7)+1,MOD(הגדרות!$D$20-WEEKDAY(N23)-1,7)+1)))</f>
        <v/>
      </c>
      <c r="O24" s="0" t="str">
        <f aca="false">IF(B24="","",IF(D24="בוטל בהתראה",0,IF(D24="בוטל ללא התראה",הגדרות!$C$30,1)))</f>
        <v/>
      </c>
    </row>
    <row r="25" customFormat="false" ht="21.75" hidden="false" customHeight="true" outlineLevel="0" collapsed="false">
      <c r="A25" s="45" t="s">
        <v>109</v>
      </c>
      <c r="B25" s="45"/>
      <c r="C25" s="45"/>
      <c r="D25" s="45"/>
      <c r="E25" s="45"/>
      <c r="F25" s="45"/>
      <c r="G25" s="46" t="n">
        <f aca="false">SUM(G15:G24)</f>
        <v>24</v>
      </c>
      <c r="H25" s="47" t="n">
        <f aca="false">SUM(H15:H24)</f>
        <v>5200</v>
      </c>
      <c r="I25" s="47" t="n">
        <f aca="false">SUM(I15:I24)</f>
        <v>2400</v>
      </c>
      <c r="J25" s="47" t="n">
        <f aca="false">SUM(J15:J24)</f>
        <v>7600</v>
      </c>
      <c r="K25" s="45"/>
      <c r="L25" s="47" t="n">
        <f aca="false">SUM(L15:L24)</f>
        <v>0</v>
      </c>
    </row>
    <row r="26" customFormat="false" ht="25.5" hidden="false" customHeight="true" outlineLevel="0" collapsed="false">
      <c r="A26" s="48" t="s">
        <v>110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8" customFormat="false" ht="19.5" hidden="false" customHeight="true" outlineLevel="0" collapsed="false">
      <c r="A28" s="49" t="s">
        <v>111</v>
      </c>
      <c r="B28" s="49"/>
      <c r="C28" s="49"/>
      <c r="D28" s="49"/>
      <c r="E28" s="49"/>
      <c r="F28" s="49"/>
      <c r="G28" s="49"/>
      <c r="H28" s="50" t="str">
        <f aca="false">"תשלום בסיסי ("&amp;COUNTIF(O15:O24,"&gt;0")&amp;" מפגשים)"</f>
        <v>תשלום בסיסי (4 מפגשים)</v>
      </c>
      <c r="I28" s="50"/>
      <c r="J28" s="50"/>
      <c r="K28" s="50"/>
      <c r="L28" s="40" t="n">
        <f aca="false">H25</f>
        <v>5200</v>
      </c>
    </row>
    <row r="29" customFormat="false" ht="39.75" hidden="false" customHeight="true" outlineLevel="0" collapsed="false">
      <c r="A29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29" s="51"/>
      <c r="C29" s="51"/>
      <c r="D29" s="51"/>
      <c r="E29" s="51"/>
      <c r="F29" s="51"/>
      <c r="G29" s="51"/>
      <c r="H29" s="50" t="str">
        <f aca="false">"תקציב עץ ("&amp;G25&amp;" משתתפים)"</f>
        <v>תקציב עץ (24 משתתפים)</v>
      </c>
      <c r="I29" s="50"/>
      <c r="J29" s="50"/>
      <c r="K29" s="50"/>
      <c r="L29" s="40" t="n">
        <f aca="false">I25</f>
        <v>2400</v>
      </c>
    </row>
    <row r="30" customFormat="false" ht="27.75" hidden="false" customHeight="true" outlineLevel="0" collapsed="false">
      <c r="A30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0" s="51"/>
      <c r="C30" s="51"/>
      <c r="D30" s="51"/>
      <c r="E30" s="51"/>
      <c r="F30" s="51"/>
      <c r="G30" s="51"/>
      <c r="H30" s="50" t="s">
        <v>112</v>
      </c>
      <c r="I30" s="50"/>
      <c r="J30" s="50"/>
      <c r="K30" s="50"/>
      <c r="L30" s="40" t="n">
        <f aca="false">L25</f>
        <v>0</v>
      </c>
    </row>
    <row r="31" customFormat="false" ht="19.5" hidden="false" customHeight="true" outlineLevel="0" collapsed="false">
      <c r="A31" s="51" t="str">
        <f aca="false">"• תקציב עץ: "&amp;TEXT(הגדרות!$C$27,"#,##0")&amp;" ₪ למשתתף."</f>
        <v>• תקציב עץ: 100 ₪ למשתתף.</v>
      </c>
      <c r="B31" s="51"/>
      <c r="C31" s="51"/>
      <c r="D31" s="51"/>
      <c r="E31" s="51"/>
      <c r="F31" s="51"/>
      <c r="G31" s="51"/>
      <c r="H31" s="52" t="s">
        <v>113</v>
      </c>
      <c r="I31" s="52"/>
      <c r="J31" s="52"/>
      <c r="K31" s="52"/>
      <c r="L31" s="41" t="n">
        <f aca="false">L28+L29+L30</f>
        <v>7600</v>
      </c>
    </row>
    <row r="32" customFormat="false" ht="19.5" hidden="false" customHeight="true" outlineLevel="0" collapsed="false">
      <c r="A32" s="51" t="str">
        <f aca="false">IF(הגדרות!$C$34="","","• "&amp;הגדרות!$C$34)</f>
        <v>• המחירים אינם כוללים מע״מ. מע״מ יתווסף כחוק.</v>
      </c>
      <c r="B32" s="51"/>
      <c r="C32" s="51"/>
      <c r="D32" s="51"/>
      <c r="E32" s="51"/>
      <c r="F32" s="51"/>
      <c r="G32" s="51"/>
      <c r="H32" s="50" t="str">
        <f aca="false">"מע״מ "&amp;ROUND(הגדרות!$C$31*100,1)&amp;"%"</f>
        <v>מע״מ 18%</v>
      </c>
      <c r="I32" s="50"/>
      <c r="J32" s="50"/>
      <c r="K32" s="50"/>
      <c r="L32" s="40" t="n">
        <f aca="false">ROUND(L31*הגדרות!$C$31,2)</f>
        <v>1368</v>
      </c>
    </row>
    <row r="33" customFormat="false" ht="27.75" hidden="false" customHeight="true" outlineLevel="0" collapsed="false">
      <c r="A33" s="51" t="str">
        <f aca="false">IF(הגדרות!$C$35="","","• "&amp;הגדרות!$C$35)</f>
        <v>• פרויקטים גדולים ומיוחדים מתומחרים בנפרד לפי עלות החומרים, באישור החווה.</v>
      </c>
      <c r="B33" s="51"/>
      <c r="C33" s="51"/>
      <c r="D33" s="51"/>
      <c r="E33" s="51"/>
      <c r="F33" s="51"/>
      <c r="G33" s="51"/>
      <c r="H33" s="53" t="s">
        <v>114</v>
      </c>
      <c r="I33" s="53"/>
      <c r="J33" s="53"/>
      <c r="K33" s="53"/>
      <c r="L33" s="54" t="n">
        <f aca="false">L31+L32</f>
        <v>8968</v>
      </c>
    </row>
    <row r="34" customFormat="false" ht="15" hidden="false" customHeight="false" outlineLevel="0" collapsed="false">
      <c r="A34" s="51" t="str">
        <f aca="false">IF(הגדרות!$C$36="","","• "&amp;הגדרות!$C$36)</f>
        <v/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9" t="s">
        <v>115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5.75" hidden="false" customHeight="true" outlineLevel="0" collapsed="false">
      <c r="A36" s="51" t="str">
        <f aca="false">"• "&amp;הגדרות!$C$39</f>
        <v>• ביטול מלא של הסדנא: ביטול של עד 48 שעות לפני מועד הסדנא – ללא חיוב.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customFormat="false" ht="15.75" hidden="false" customHeight="true" outlineLevel="0" collapsed="false">
      <c r="A37" s="51" t="str">
        <f aca="false">"• "&amp;הגדרות!$C$40</f>
        <v>• מספר המשתתפים: הסדנא מתוכננת ומוכנה מראש בהתאם למספר המשתתפים שסוכם, עד 6 משתתפים.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15.75" hidden="false" customHeight="true" outlineLevel="0" collapsed="false">
      <c r="A38" s="51" t="str">
        <f aca="false">"• "&amp;הגדרות!$C$41</f>
        <v>• הפחתת מספר המשתתפים: יש לעדכן על שינוי במספר המשתתפים עד 24 שעות לפני הסדנא.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5.5" hidden="false" customHeight="true" outlineLevel="0" collapsed="false">
      <c r="A39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2" customFormat="false" ht="15" hidden="false" customHeight="false" outlineLevel="0" collapsed="false">
      <c r="A42" s="55" t="str">
        <f aca="false">"בברכה, "&amp;הגדרות!$C$6</f>
        <v>בברכה, (למילוי)</v>
      </c>
      <c r="B42" s="55"/>
      <c r="C42" s="55"/>
      <c r="D42" s="55"/>
      <c r="E42" s="55"/>
      <c r="H42" s="55" t="s">
        <v>116</v>
      </c>
      <c r="I42" s="55"/>
      <c r="J42" s="55"/>
      <c r="K42" s="55"/>
      <c r="L42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25:F25"/>
    <mergeCell ref="A26:L26"/>
    <mergeCell ref="A28:G28"/>
    <mergeCell ref="H28:K28"/>
    <mergeCell ref="A29:G29"/>
    <mergeCell ref="H29:K29"/>
    <mergeCell ref="A30:G30"/>
    <mergeCell ref="H30:K30"/>
    <mergeCell ref="A31:G31"/>
    <mergeCell ref="H31:K31"/>
    <mergeCell ref="A32:G32"/>
    <mergeCell ref="H32:K32"/>
    <mergeCell ref="A33:G33"/>
    <mergeCell ref="H33:K33"/>
    <mergeCell ref="A34:G34"/>
    <mergeCell ref="A35:L35"/>
    <mergeCell ref="A36:L36"/>
    <mergeCell ref="A37:L37"/>
    <mergeCell ref="A38:L38"/>
    <mergeCell ref="A39:L39"/>
    <mergeCell ref="A42:E42"/>
    <mergeCell ref="H42:L42"/>
  </mergeCells>
  <conditionalFormatting sqref="D15:D24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24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24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24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24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5"/>
    <col collapsed="false" customWidth="true" hidden="false" outlineLevel="0" max="7" min="5" style="0" width="8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true" outlineLevel="0" max="15" min="14" style="0" width="13"/>
  </cols>
  <sheetData>
    <row r="1" customFormat="false" ht="36" hidden="false" customHeight="true" outlineLevel="0" collapsed="false">
      <c r="A1" s="24" t="s">
        <v>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N1" s="56" t="n">
        <f aca="false">DATE(YEAR($I$11),MONTH($I$11),1)</f>
        <v>46631</v>
      </c>
    </row>
    <row r="2" customFormat="false" ht="24" hidden="false" customHeight="true" outlineLevel="0" collapsed="false">
      <c r="A2" s="25" t="str">
        <f aca="false">הגדרות!$C$17&amp;" · "&amp;"מפגש שבועי בימי "&amp;הגדרות!$C$19&amp;IF(הגדרות!$C$20="",""," ו"&amp;הגדרות!$C$20)&amp;IF(הגדרות!$C$18="",""," ("&amp;הגדרות!$C$18&amp;")")&amp;" · "&amp;CHOOSE(MONTH($N$1),"ינואר","פברואר","מרץ","אפריל","מאי","יוני","יולי","אוגוסט","ספטמבר","אוקטובר","נובמבר","דצמבר")&amp;" "&amp;YEAR($N$1)</f>
        <v>תכנית חוסן · מפגש שבועי בימי רביעי (הוותיקה) · ספטמבר 2027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N2" s="56" t="n">
        <f aca="false">EOMONTH($N$1,0)</f>
        <v>46660</v>
      </c>
    </row>
    <row r="3" customFormat="false" ht="9.75" hidden="false" customHeight="true" outlineLevel="0" collapsed="false"/>
    <row r="4" customFormat="false" ht="15" hidden="false" customHeight="false" outlineLevel="0" collapsed="false">
      <c r="A4" s="26" t="s">
        <v>89</v>
      </c>
      <c r="B4" s="26"/>
      <c r="C4" s="26"/>
      <c r="D4" s="26"/>
      <c r="E4" s="26"/>
      <c r="G4" s="26" t="s">
        <v>90</v>
      </c>
      <c r="H4" s="26"/>
      <c r="I4" s="26"/>
      <c r="J4" s="26"/>
      <c r="K4" s="26"/>
      <c r="L4" s="26"/>
    </row>
    <row r="5" customFormat="false" ht="15" hidden="false" customHeight="false" outlineLevel="0" collapsed="false">
      <c r="A5" s="27" t="s">
        <v>32</v>
      </c>
      <c r="B5" s="27"/>
      <c r="C5" s="28" t="str">
        <f aca="false">הגדרות!$C$5</f>
        <v>הנגרייה</v>
      </c>
      <c r="D5" s="28"/>
      <c r="E5" s="28"/>
      <c r="G5" s="27" t="s">
        <v>48</v>
      </c>
      <c r="H5" s="27"/>
      <c r="I5" s="28" t="str">
        <f aca="false">הגדרות!$C$12</f>
        <v>חוות רום</v>
      </c>
      <c r="J5" s="28"/>
      <c r="K5" s="28"/>
      <c r="L5" s="28"/>
    </row>
    <row r="6" customFormat="false" ht="15" hidden="false" customHeight="false" outlineLevel="0" collapsed="false">
      <c r="A6" s="27" t="s">
        <v>35</v>
      </c>
      <c r="B6" s="27"/>
      <c r="C6" s="28" t="str">
        <f aca="false">הגדרות!$C$6</f>
        <v>(למילוי)</v>
      </c>
      <c r="D6" s="28"/>
      <c r="E6" s="28"/>
      <c r="G6" s="27" t="s">
        <v>50</v>
      </c>
      <c r="H6" s="27"/>
      <c r="I6" s="28" t="str">
        <f aca="false">הגדרות!$C$13</f>
        <v>הר כמון</v>
      </c>
      <c r="J6" s="28"/>
      <c r="K6" s="28"/>
      <c r="L6" s="28"/>
    </row>
    <row r="7" customFormat="false" ht="15" hidden="false" customHeight="false" outlineLevel="0" collapsed="false">
      <c r="A7" s="27" t="s">
        <v>91</v>
      </c>
      <c r="B7" s="27"/>
      <c r="C7" s="28" t="str">
        <f aca="false">הגדרות!$C$7</f>
        <v>(למילוי)</v>
      </c>
      <c r="D7" s="28"/>
      <c r="E7" s="28"/>
      <c r="G7" s="27" t="s">
        <v>52</v>
      </c>
      <c r="H7" s="27"/>
      <c r="I7" s="28" t="str">
        <f aca="false">הגדרות!$C$14</f>
        <v>(למילוי)</v>
      </c>
      <c r="J7" s="28"/>
      <c r="K7" s="28"/>
      <c r="L7" s="28"/>
    </row>
    <row r="8" customFormat="false" ht="15" hidden="false" customHeight="false" outlineLevel="0" collapsed="false">
      <c r="A8" s="27" t="s">
        <v>40</v>
      </c>
      <c r="B8" s="27"/>
      <c r="C8" s="28" t="str">
        <f aca="false">הגדרות!$C$8</f>
        <v>(למילוי)</v>
      </c>
      <c r="D8" s="28"/>
      <c r="E8" s="28"/>
    </row>
    <row r="9" customFormat="false" ht="15" hidden="false" customHeight="false" outlineLevel="0" collapsed="false">
      <c r="A9" s="27" t="s">
        <v>42</v>
      </c>
      <c r="B9" s="27"/>
      <c r="C9" s="28" t="str">
        <f aca="false">הגדרות!$C$9</f>
        <v>nettaamit21@gmail.com</v>
      </c>
      <c r="D9" s="28"/>
      <c r="E9" s="28"/>
    </row>
    <row r="10" customFormat="false" ht="9.75" hidden="false" customHeight="true" outlineLevel="0" collapsed="false"/>
    <row r="11" customFormat="false" ht="15" hidden="false" customHeight="false" outlineLevel="0" collapsed="false">
      <c r="A11" s="27" t="s">
        <v>92</v>
      </c>
      <c r="B11" s="27"/>
      <c r="C11" s="28" t="str">
        <f aca="false">"חוסן-"&amp;YEAR($N$1)&amp;"-"&amp;TEXT(MONTH($N$1),"00")</f>
        <v>חוסן-2027-09</v>
      </c>
      <c r="D11" s="28"/>
      <c r="E11" s="28"/>
      <c r="G11" s="27" t="s">
        <v>117</v>
      </c>
      <c r="H11" s="27"/>
      <c r="I11" s="57" t="n">
        <v>46631</v>
      </c>
      <c r="J11" s="57"/>
      <c r="K11" s="57"/>
      <c r="L11" s="57"/>
    </row>
    <row r="12" customFormat="false" ht="15" hidden="false" customHeight="false" outlineLevel="0" collapsed="false">
      <c r="A12" s="27" t="s">
        <v>96</v>
      </c>
      <c r="B12" s="27"/>
      <c r="C12" s="58" t="n">
        <f aca="false">$N$2</f>
        <v>46660</v>
      </c>
      <c r="D12" s="58"/>
      <c r="E12" s="58"/>
      <c r="G12" s="27" t="s">
        <v>97</v>
      </c>
      <c r="H12" s="27"/>
      <c r="I12" s="28" t="str">
        <f aca="false">TEXT(הגדרות!$C$26,"#,##0")&amp;" ₪ למפגש + "&amp;TEXT(הגדרות!$C$27,"#,##0")&amp;" ₪ למשתתף"</f>
        <v>1,300 ₪ למפגש + 100 ₪ למשתתף</v>
      </c>
      <c r="J12" s="28"/>
      <c r="K12" s="28"/>
      <c r="L12" s="28"/>
    </row>
    <row r="13" customFormat="false" ht="15" hidden="false" customHeight="false" outlineLevel="0" collapsed="false">
      <c r="A13" s="31" t="str">
        <f aca="false">"מפגשי "&amp;הגדרות!$C$17</f>
        <v>מפגשי תכנית חוסן</v>
      </c>
      <c r="B13" s="31"/>
      <c r="C13" s="31"/>
      <c r="D13" s="31"/>
      <c r="E13" s="31"/>
      <c r="F13" s="31"/>
      <c r="G13" s="31"/>
      <c r="H13" s="31"/>
      <c r="I13" s="31"/>
      <c r="J13" s="31"/>
      <c r="K13" s="32" t="s">
        <v>98</v>
      </c>
      <c r="L13" s="32"/>
    </row>
    <row r="14" customFormat="false" ht="30" hidden="false" customHeight="true" outlineLevel="0" collapsed="false">
      <c r="A14" s="33" t="s">
        <v>99</v>
      </c>
      <c r="B14" s="33" t="s">
        <v>96</v>
      </c>
      <c r="C14" s="33" t="s">
        <v>100</v>
      </c>
      <c r="D14" s="33" t="s">
        <v>101</v>
      </c>
      <c r="E14" s="33" t="s">
        <v>102</v>
      </c>
      <c r="F14" s="33" t="s">
        <v>103</v>
      </c>
      <c r="G14" s="33" t="s">
        <v>104</v>
      </c>
      <c r="H14" s="33" t="s">
        <v>105</v>
      </c>
      <c r="I14" s="33" t="s">
        <v>106</v>
      </c>
      <c r="J14" s="33" t="s">
        <v>107</v>
      </c>
      <c r="K14" s="34" t="s">
        <v>25</v>
      </c>
      <c r="L14" s="34" t="s">
        <v>26</v>
      </c>
    </row>
    <row r="15" customFormat="false" ht="21" hidden="false" customHeight="true" outlineLevel="0" collapsed="false">
      <c r="A15" s="35" t="n">
        <f aca="false">IF(B15="","",COUNT($B$15:B15))</f>
        <v>1</v>
      </c>
      <c r="B15" s="36" t="n">
        <f aca="false">IF(N15="","",N15)</f>
        <v>46631</v>
      </c>
      <c r="C15" s="35" t="str">
        <f aca="false">IF(B15="","",INDEX(הגדרות!$F$5:$F$11,WEEKDAY(B15)))</f>
        <v>רביעי</v>
      </c>
      <c r="D15" s="37" t="s">
        <v>108</v>
      </c>
      <c r="E15" s="38" t="n">
        <f aca="false">IF(B15="","",הגדרות!$C$28)</f>
        <v>6</v>
      </c>
      <c r="F15" s="38"/>
      <c r="G15" s="39" t="n">
        <f aca="false">IF(B15="","",IF(O15=0,0,MIN(הגדרות!$C$29,MAX(E15,F15))))</f>
        <v>6</v>
      </c>
      <c r="H15" s="40" t="n">
        <f aca="false">IF(B15="","",O15*הגדרות!$C$26)</f>
        <v>1300</v>
      </c>
      <c r="I15" s="40" t="n">
        <f aca="false">IF(B15="","",O15*G15*הגדרות!$C$27)</f>
        <v>600</v>
      </c>
      <c r="J15" s="41" t="n">
        <f aca="false">IF(B15="","",H15+I15)</f>
        <v>1900</v>
      </c>
      <c r="K15" s="42"/>
      <c r="L15" s="43"/>
      <c r="N15" s="56" t="n">
        <f aca="false">$N$1+MIN(MOD(הגדרות!$D$19-WEEKDAY($N$1),7),MOD(הגדרות!$D$20-WEEKDAY($N$1),7))</f>
        <v>46631</v>
      </c>
      <c r="O15" s="44" t="n">
        <f aca="false">IF(B15="","",IF(D15="בוטל בהתראה",0,IF(D15="בוטל ללא התראה",הגדרות!$C$30,1)))</f>
        <v>1</v>
      </c>
    </row>
    <row r="16" customFormat="false" ht="21" hidden="false" customHeight="true" outlineLevel="0" collapsed="false">
      <c r="A16" s="35" t="n">
        <f aca="false">IF(B16="","",COUNT($B$15:B16))</f>
        <v>2</v>
      </c>
      <c r="B16" s="36" t="n">
        <f aca="false">IF(N16="","",N16)</f>
        <v>46638</v>
      </c>
      <c r="C16" s="35" t="str">
        <f aca="false">IF(B16="","",INDEX(הגדרות!$F$5:$F$11,WEEKDAY(B16)))</f>
        <v>רביעי</v>
      </c>
      <c r="D16" s="37" t="s">
        <v>108</v>
      </c>
      <c r="E16" s="38" t="n">
        <f aca="false">IF(B16="","",הגדרות!$C$28)</f>
        <v>6</v>
      </c>
      <c r="F16" s="38"/>
      <c r="G16" s="39" t="n">
        <f aca="false">IF(B16="","",IF(O16=0,0,MIN(הגדרות!$C$29,MAX(E16,F16))))</f>
        <v>6</v>
      </c>
      <c r="H16" s="40" t="n">
        <f aca="false">IF(B16="","",O16*הגדרות!$C$26)</f>
        <v>1300</v>
      </c>
      <c r="I16" s="40" t="n">
        <f aca="false">IF(B16="","",O16*G16*הגדרות!$C$27)</f>
        <v>600</v>
      </c>
      <c r="J16" s="41" t="n">
        <f aca="false">IF(B16="","",H16+I16)</f>
        <v>1900</v>
      </c>
      <c r="K16" s="42"/>
      <c r="L16" s="43"/>
      <c r="N16" s="56" t="n">
        <f aca="false">IF(N15="","",IF(N15+MIN(MOD(הגדרות!$D$19-WEEKDAY(N15)-1,7)+1,MOD(הגדרות!$D$20-WEEKDAY(N15)-1,7)+1)&gt;$N$2,"",N15+MIN(MOD(הגדרות!$D$19-WEEKDAY(N15)-1,7)+1,MOD(הגדרות!$D$20-WEEKDAY(N15)-1,7)+1)))</f>
        <v>46638</v>
      </c>
      <c r="O16" s="44" t="n">
        <f aca="false">IF(B16="","",IF(D16="בוטל בהתראה",0,IF(D16="בוטל ללא התראה",הגדרות!$C$30,1)))</f>
        <v>1</v>
      </c>
    </row>
    <row r="17" customFormat="false" ht="21" hidden="false" customHeight="true" outlineLevel="0" collapsed="false">
      <c r="A17" s="35" t="n">
        <f aca="false">IF(B17="","",COUNT($B$15:B17))</f>
        <v>3</v>
      </c>
      <c r="B17" s="36" t="n">
        <f aca="false">IF(N17="","",N17)</f>
        <v>46645</v>
      </c>
      <c r="C17" s="35" t="str">
        <f aca="false">IF(B17="","",INDEX(הגדרות!$F$5:$F$11,WEEKDAY(B17)))</f>
        <v>רביעי</v>
      </c>
      <c r="D17" s="37" t="s">
        <v>108</v>
      </c>
      <c r="E17" s="38" t="n">
        <f aca="false">IF(B17="","",הגדרות!$C$28)</f>
        <v>6</v>
      </c>
      <c r="F17" s="38"/>
      <c r="G17" s="39" t="n">
        <f aca="false">IF(B17="","",IF(O17=0,0,MIN(הגדרות!$C$29,MAX(E17,F17))))</f>
        <v>6</v>
      </c>
      <c r="H17" s="40" t="n">
        <f aca="false">IF(B17="","",O17*הגדרות!$C$26)</f>
        <v>1300</v>
      </c>
      <c r="I17" s="40" t="n">
        <f aca="false">IF(B17="","",O17*G17*הגדרות!$C$27)</f>
        <v>600</v>
      </c>
      <c r="J17" s="41" t="n">
        <f aca="false">IF(B17="","",H17+I17)</f>
        <v>1900</v>
      </c>
      <c r="K17" s="42"/>
      <c r="L17" s="43"/>
      <c r="N17" s="56" t="n">
        <f aca="false">IF(N16="","",IF(N16+MIN(MOD(הגדרות!$D$19-WEEKDAY(N16)-1,7)+1,MOD(הגדרות!$D$20-WEEKDAY(N16)-1,7)+1)&gt;$N$2,"",N16+MIN(MOD(הגדרות!$D$19-WEEKDAY(N16)-1,7)+1,MOD(הגדרות!$D$20-WEEKDAY(N16)-1,7)+1)))</f>
        <v>46645</v>
      </c>
      <c r="O17" s="44" t="n">
        <f aca="false">IF(B17="","",IF(D17="בוטל בהתראה",0,IF(D17="בוטל ללא התראה",הגדרות!$C$30,1)))</f>
        <v>1</v>
      </c>
    </row>
    <row r="18" customFormat="false" ht="21" hidden="false" customHeight="true" outlineLevel="0" collapsed="false">
      <c r="A18" s="35" t="n">
        <f aca="false">IF(B18="","",COUNT($B$15:B18))</f>
        <v>4</v>
      </c>
      <c r="B18" s="36" t="n">
        <f aca="false">IF(N18="","",N18)</f>
        <v>46652</v>
      </c>
      <c r="C18" s="35" t="str">
        <f aca="false">IF(B18="","",INDEX(הגדרות!$F$5:$F$11,WEEKDAY(B18)))</f>
        <v>רביעי</v>
      </c>
      <c r="D18" s="37" t="s">
        <v>108</v>
      </c>
      <c r="E18" s="38" t="n">
        <f aca="false">IF(B18="","",הגדרות!$C$28)</f>
        <v>6</v>
      </c>
      <c r="F18" s="38"/>
      <c r="G18" s="39" t="n">
        <f aca="false">IF(B18="","",IF(O18=0,0,MIN(הגדרות!$C$29,MAX(E18,F18))))</f>
        <v>6</v>
      </c>
      <c r="H18" s="40" t="n">
        <f aca="false">IF(B18="","",O18*הגדרות!$C$26)</f>
        <v>1300</v>
      </c>
      <c r="I18" s="40" t="n">
        <f aca="false">IF(B18="","",O18*G18*הגדרות!$C$27)</f>
        <v>600</v>
      </c>
      <c r="J18" s="41" t="n">
        <f aca="false">IF(B18="","",H18+I18)</f>
        <v>1900</v>
      </c>
      <c r="K18" s="42"/>
      <c r="L18" s="43"/>
      <c r="N18" s="56" t="n">
        <f aca="false">IF(N17="","",IF(N17+MIN(MOD(הגדרות!$D$19-WEEKDAY(N17)-1,7)+1,MOD(הגדרות!$D$20-WEEKDAY(N17)-1,7)+1)&gt;$N$2,"",N17+MIN(MOD(הגדרות!$D$19-WEEKDAY(N17)-1,7)+1,MOD(הגדרות!$D$20-WEEKDAY(N17)-1,7)+1)))</f>
        <v>46652</v>
      </c>
      <c r="O18" s="44" t="n">
        <f aca="false">IF(B18="","",IF(D18="בוטל בהתראה",0,IF(D18="בוטל ללא התראה",הגדרות!$C$30,1)))</f>
        <v>1</v>
      </c>
    </row>
    <row r="19" customFormat="false" ht="21" hidden="false" customHeight="true" outlineLevel="0" collapsed="false">
      <c r="A19" s="35" t="n">
        <f aca="false">IF(B19="","",COUNT($B$15:B19))</f>
        <v>5</v>
      </c>
      <c r="B19" s="36" t="n">
        <f aca="false">IF(N19="","",N19)</f>
        <v>46659</v>
      </c>
      <c r="C19" s="35" t="str">
        <f aca="false">IF(B19="","",INDEX(הגדרות!$F$5:$F$11,WEEKDAY(B19)))</f>
        <v>רביעי</v>
      </c>
      <c r="D19" s="37" t="s">
        <v>108</v>
      </c>
      <c r="E19" s="38" t="n">
        <f aca="false">IF(B19="","",הגדרות!$C$28)</f>
        <v>6</v>
      </c>
      <c r="F19" s="38"/>
      <c r="G19" s="39" t="n">
        <f aca="false">IF(B19="","",IF(O19=0,0,MIN(הגדרות!$C$29,MAX(E19,F19))))</f>
        <v>6</v>
      </c>
      <c r="H19" s="40" t="n">
        <f aca="false">IF(B19="","",O19*הגדרות!$C$26)</f>
        <v>1300</v>
      </c>
      <c r="I19" s="40" t="n">
        <f aca="false">IF(B19="","",O19*G19*הגדרות!$C$27)</f>
        <v>600</v>
      </c>
      <c r="J19" s="41" t="n">
        <f aca="false">IF(B19="","",H19+I19)</f>
        <v>1900</v>
      </c>
      <c r="K19" s="42"/>
      <c r="L19" s="43"/>
      <c r="N19" s="56" t="n">
        <f aca="false">IF(N18="","",IF(N18+MIN(MOD(הגדרות!$D$19-WEEKDAY(N18)-1,7)+1,MOD(הגדרות!$D$20-WEEKDAY(N18)-1,7)+1)&gt;$N$2,"",N18+MIN(MOD(הגדרות!$D$19-WEEKDAY(N18)-1,7)+1,MOD(הגדרות!$D$20-WEEKDAY(N18)-1,7)+1)))</f>
        <v>46659</v>
      </c>
      <c r="O19" s="44" t="n">
        <f aca="false">IF(B19="","",IF(D19="בוטל בהתראה",0,IF(D19="בוטל ללא התראה",הגדרות!$C$30,1)))</f>
        <v>1</v>
      </c>
    </row>
    <row r="20" customFormat="false" ht="21" hidden="false" customHeight="true" outlineLevel="0" collapsed="false">
      <c r="A20" s="35" t="str">
        <f aca="false">IF(B20="","",COUNT($B$15:B20))</f>
        <v/>
      </c>
      <c r="B20" s="36" t="str">
        <f aca="false">IF(N20="","",N20)</f>
        <v/>
      </c>
      <c r="C20" s="35" t="str">
        <f aca="false">IF(B20="","",INDEX(הגדרות!$F$5:$F$11,WEEKDAY(B20)))</f>
        <v/>
      </c>
      <c r="D20" s="37" t="s">
        <v>108</v>
      </c>
      <c r="E20" s="38" t="str">
        <f aca="false">IF(B20="","",הגדרות!$C$28)</f>
        <v/>
      </c>
      <c r="F20" s="38"/>
      <c r="G20" s="39" t="str">
        <f aca="false">IF(B20="","",IF(O20=0,0,MIN(הגדרות!$C$29,MAX(E20,F20))))</f>
        <v/>
      </c>
      <c r="H20" s="40" t="str">
        <f aca="false">IF(B20="","",O20*הגדרות!$C$26)</f>
        <v/>
      </c>
      <c r="I20" s="40" t="str">
        <f aca="false">IF(B20="","",O20*G20*הגדרות!$C$27)</f>
        <v/>
      </c>
      <c r="J20" s="41" t="str">
        <f aca="false">IF(B20="","",H20+I20)</f>
        <v/>
      </c>
      <c r="K20" s="42"/>
      <c r="L20" s="43"/>
      <c r="N20" s="56" t="str">
        <f aca="false">IF(N19="","",IF(N19+MIN(MOD(הגדרות!$D$19-WEEKDAY(N19)-1,7)+1,MOD(הגדרות!$D$20-WEEKDAY(N19)-1,7)+1)&gt;$N$2,"",N19+MIN(MOD(הגדרות!$D$19-WEEKDAY(N19)-1,7)+1,MOD(הגדרות!$D$20-WEEKDAY(N19)-1,7)+1)))</f>
        <v/>
      </c>
      <c r="O20" s="0" t="str">
        <f aca="false">IF(B20="","",IF(D20="בוטל בהתראה",0,IF(D20="בוטל ללא התראה",הגדרות!$C$30,1)))</f>
        <v/>
      </c>
    </row>
    <row r="21" customFormat="false" ht="21" hidden="false" customHeight="true" outlineLevel="0" collapsed="false">
      <c r="A21" s="35" t="str">
        <f aca="false">IF(B21="","",COUNT($B$15:B21))</f>
        <v/>
      </c>
      <c r="B21" s="36" t="str">
        <f aca="false">IF(N21="","",N21)</f>
        <v/>
      </c>
      <c r="C21" s="35" t="str">
        <f aca="false">IF(B21="","",INDEX(הגדרות!$F$5:$F$11,WEEKDAY(B21)))</f>
        <v/>
      </c>
      <c r="D21" s="37" t="s">
        <v>108</v>
      </c>
      <c r="E21" s="38" t="str">
        <f aca="false">IF(B21="","",הגדרות!$C$28)</f>
        <v/>
      </c>
      <c r="F21" s="38"/>
      <c r="G21" s="39" t="str">
        <f aca="false">IF(B21="","",IF(O21=0,0,MIN(הגדרות!$C$29,MAX(E21,F21))))</f>
        <v/>
      </c>
      <c r="H21" s="40" t="str">
        <f aca="false">IF(B21="","",O21*הגדרות!$C$26)</f>
        <v/>
      </c>
      <c r="I21" s="40" t="str">
        <f aca="false">IF(B21="","",O21*G21*הגדרות!$C$27)</f>
        <v/>
      </c>
      <c r="J21" s="41" t="str">
        <f aca="false">IF(B21="","",H21+I21)</f>
        <v/>
      </c>
      <c r="K21" s="42"/>
      <c r="L21" s="43"/>
      <c r="N21" s="56" t="str">
        <f aca="false">IF(N20="","",IF(N20+MIN(MOD(הגדרות!$D$19-WEEKDAY(N20)-1,7)+1,MOD(הגדרות!$D$20-WEEKDAY(N20)-1,7)+1)&gt;$N$2,"",N20+MIN(MOD(הגדרות!$D$19-WEEKDAY(N20)-1,7)+1,MOD(הגדרות!$D$20-WEEKDAY(N20)-1,7)+1)))</f>
        <v/>
      </c>
      <c r="O21" s="0" t="str">
        <f aca="false">IF(B21="","",IF(D21="בוטל בהתראה",0,IF(D21="בוטל ללא התראה",הגדרות!$C$30,1)))</f>
        <v/>
      </c>
    </row>
    <row r="22" customFormat="false" ht="21" hidden="false" customHeight="true" outlineLevel="0" collapsed="false">
      <c r="A22" s="35" t="str">
        <f aca="false">IF(B22="","",COUNT($B$15:B22))</f>
        <v/>
      </c>
      <c r="B22" s="36" t="str">
        <f aca="false">IF(N22="","",N22)</f>
        <v/>
      </c>
      <c r="C22" s="35" t="str">
        <f aca="false">IF(B22="","",INDEX(הגדרות!$F$5:$F$11,WEEKDAY(B22)))</f>
        <v/>
      </c>
      <c r="D22" s="37" t="s">
        <v>108</v>
      </c>
      <c r="E22" s="38" t="str">
        <f aca="false">IF(B22="","",הגדרות!$C$28)</f>
        <v/>
      </c>
      <c r="F22" s="38"/>
      <c r="G22" s="39" t="str">
        <f aca="false">IF(B22="","",IF(O22=0,0,MIN(הגדרות!$C$29,MAX(E22,F22))))</f>
        <v/>
      </c>
      <c r="H22" s="40" t="str">
        <f aca="false">IF(B22="","",O22*הגדרות!$C$26)</f>
        <v/>
      </c>
      <c r="I22" s="40" t="str">
        <f aca="false">IF(B22="","",O22*G22*הגדרות!$C$27)</f>
        <v/>
      </c>
      <c r="J22" s="41" t="str">
        <f aca="false">IF(B22="","",H22+I22)</f>
        <v/>
      </c>
      <c r="K22" s="42"/>
      <c r="L22" s="43"/>
      <c r="N22" s="56" t="str">
        <f aca="false">IF(N21="","",IF(N21+MIN(MOD(הגדרות!$D$19-WEEKDAY(N21)-1,7)+1,MOD(הגדרות!$D$20-WEEKDAY(N21)-1,7)+1)&gt;$N$2,"",N21+MIN(MOD(הגדרות!$D$19-WEEKDAY(N21)-1,7)+1,MOD(הגדרות!$D$20-WEEKDAY(N21)-1,7)+1)))</f>
        <v/>
      </c>
      <c r="O22" s="0" t="str">
        <f aca="false">IF(B22="","",IF(D22="בוטל בהתראה",0,IF(D22="בוטל ללא התראה",הגדרות!$C$30,1)))</f>
        <v/>
      </c>
    </row>
    <row r="23" customFormat="false" ht="21" hidden="false" customHeight="true" outlineLevel="0" collapsed="false">
      <c r="A23" s="35" t="str">
        <f aca="false">IF(B23="","",COUNT($B$15:B23))</f>
        <v/>
      </c>
      <c r="B23" s="36" t="str">
        <f aca="false">IF(N23="","",N23)</f>
        <v/>
      </c>
      <c r="C23" s="35" t="str">
        <f aca="false">IF(B23="","",INDEX(הגדרות!$F$5:$F$11,WEEKDAY(B23)))</f>
        <v/>
      </c>
      <c r="D23" s="37" t="s">
        <v>108</v>
      </c>
      <c r="E23" s="38" t="str">
        <f aca="false">IF(B23="","",הגדרות!$C$28)</f>
        <v/>
      </c>
      <c r="F23" s="38"/>
      <c r="G23" s="39" t="str">
        <f aca="false">IF(B23="","",IF(O23=0,0,MIN(הגדרות!$C$29,MAX(E23,F23))))</f>
        <v/>
      </c>
      <c r="H23" s="40" t="str">
        <f aca="false">IF(B23="","",O23*הגדרות!$C$26)</f>
        <v/>
      </c>
      <c r="I23" s="40" t="str">
        <f aca="false">IF(B23="","",O23*G23*הגדרות!$C$27)</f>
        <v/>
      </c>
      <c r="J23" s="41" t="str">
        <f aca="false">IF(B23="","",H23+I23)</f>
        <v/>
      </c>
      <c r="K23" s="42"/>
      <c r="L23" s="43"/>
      <c r="N23" s="56" t="str">
        <f aca="false">IF(N22="","",IF(N22+MIN(MOD(הגדרות!$D$19-WEEKDAY(N22)-1,7)+1,MOD(הגדרות!$D$20-WEEKDAY(N22)-1,7)+1)&gt;$N$2,"",N22+MIN(MOD(הגדרות!$D$19-WEEKDAY(N22)-1,7)+1,MOD(הגדרות!$D$20-WEEKDAY(N22)-1,7)+1)))</f>
        <v/>
      </c>
      <c r="O23" s="0" t="str">
        <f aca="false">IF(B23="","",IF(D23="בוטל בהתראה",0,IF(D23="בוטל ללא התראה",הגדרות!$C$30,1)))</f>
        <v/>
      </c>
    </row>
    <row r="24" customFormat="false" ht="21" hidden="false" customHeight="true" outlineLevel="0" collapsed="false">
      <c r="A24" s="35" t="str">
        <f aca="false">IF(B24="","",COUNT($B$15:B24))</f>
        <v/>
      </c>
      <c r="B24" s="36" t="str">
        <f aca="false">IF(N24="","",N24)</f>
        <v/>
      </c>
      <c r="C24" s="35" t="str">
        <f aca="false">IF(B24="","",INDEX(הגדרות!$F$5:$F$11,WEEKDAY(B24)))</f>
        <v/>
      </c>
      <c r="D24" s="37" t="s">
        <v>108</v>
      </c>
      <c r="E24" s="38" t="str">
        <f aca="false">IF(B24="","",הגדרות!$C$28)</f>
        <v/>
      </c>
      <c r="F24" s="38"/>
      <c r="G24" s="39" t="str">
        <f aca="false">IF(B24="","",IF(O24=0,0,MIN(הגדרות!$C$29,MAX(E24,F24))))</f>
        <v/>
      </c>
      <c r="H24" s="40" t="str">
        <f aca="false">IF(B24="","",O24*הגדרות!$C$26)</f>
        <v/>
      </c>
      <c r="I24" s="40" t="str">
        <f aca="false">IF(B24="","",O24*G24*הגדרות!$C$27)</f>
        <v/>
      </c>
      <c r="J24" s="41" t="str">
        <f aca="false">IF(B24="","",H24+I24)</f>
        <v/>
      </c>
      <c r="K24" s="42"/>
      <c r="L24" s="43"/>
      <c r="N24" s="56" t="str">
        <f aca="false">IF(N23="","",IF(N23+MIN(MOD(הגדרות!$D$19-WEEKDAY(N23)-1,7)+1,MOD(הגדרות!$D$20-WEEKDAY(N23)-1,7)+1)&gt;$N$2,"",N23+MIN(MOD(הגדרות!$D$19-WEEKDAY(N23)-1,7)+1,MOD(הגדרות!$D$20-WEEKDAY(N23)-1,7)+1)))</f>
        <v/>
      </c>
      <c r="O24" s="0" t="str">
        <f aca="false">IF(B24="","",IF(D24="בוטל בהתראה",0,IF(D24="בוטל ללא התראה",הגדרות!$C$30,1)))</f>
        <v/>
      </c>
    </row>
    <row r="25" customFormat="false" ht="21.75" hidden="false" customHeight="true" outlineLevel="0" collapsed="false">
      <c r="A25" s="45" t="s">
        <v>109</v>
      </c>
      <c r="B25" s="45"/>
      <c r="C25" s="45"/>
      <c r="D25" s="45"/>
      <c r="E25" s="45"/>
      <c r="F25" s="45"/>
      <c r="G25" s="46" t="n">
        <f aca="false">SUM(G15:G24)</f>
        <v>30</v>
      </c>
      <c r="H25" s="47" t="n">
        <f aca="false">SUM(H15:H24)</f>
        <v>6500</v>
      </c>
      <c r="I25" s="47" t="n">
        <f aca="false">SUM(I15:I24)</f>
        <v>3000</v>
      </c>
      <c r="J25" s="47" t="n">
        <f aca="false">SUM(J15:J24)</f>
        <v>9500</v>
      </c>
      <c r="K25" s="45"/>
      <c r="L25" s="47" t="n">
        <f aca="false">SUM(L15:L24)</f>
        <v>0</v>
      </c>
    </row>
    <row r="26" customFormat="false" ht="25.5" hidden="false" customHeight="true" outlineLevel="0" collapsed="false">
      <c r="A26" s="48" t="s">
        <v>110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8" customFormat="false" ht="19.5" hidden="false" customHeight="true" outlineLevel="0" collapsed="false">
      <c r="A28" s="49" t="s">
        <v>111</v>
      </c>
      <c r="B28" s="49"/>
      <c r="C28" s="49"/>
      <c r="D28" s="49"/>
      <c r="E28" s="49"/>
      <c r="F28" s="49"/>
      <c r="G28" s="49"/>
      <c r="H28" s="50" t="str">
        <f aca="false">"תשלום בסיסי ("&amp;COUNTIF(O15:O24,"&gt;0")&amp;" מפגשים)"</f>
        <v>תשלום בסיסי (5 מפגשים)</v>
      </c>
      <c r="I28" s="50"/>
      <c r="J28" s="50"/>
      <c r="K28" s="50"/>
      <c r="L28" s="40" t="n">
        <f aca="false">H25</f>
        <v>6500</v>
      </c>
    </row>
    <row r="29" customFormat="false" ht="39.75" hidden="false" customHeight="true" outlineLevel="0" collapsed="false">
      <c r="A29" s="51" t="str">
        <f aca="false">"• תשלום בסיסי למפגש – "&amp;TEXT(הגדרות!$C$26,"#,##0")&amp;" ₪: "&amp;הגדרות!$C$21&amp;" שעות עבודה ("&amp;TEXT(הגדרות!$C$23,"#,##0")&amp;" ₪) – "&amp;הגדרות!$C$22&amp;"."</f>
        <v>• תשלום בסיסי למפגש – 1,300 ₪: 6 שעות עבודה (1,000 ₪) – שעת נסיעה לרכישת עצים ומלאי, שעתיים התארגנות וניקיון, שעתיים סדנא ומפגש צוות שבועי.</v>
      </c>
      <c r="B29" s="51"/>
      <c r="C29" s="51"/>
      <c r="D29" s="51"/>
      <c r="E29" s="51"/>
      <c r="F29" s="51"/>
      <c r="G29" s="51"/>
      <c r="H29" s="50" t="str">
        <f aca="false">"תקציב עץ ("&amp;G25&amp;" משתתפים)"</f>
        <v>תקציב עץ (30 משתתפים)</v>
      </c>
      <c r="I29" s="50"/>
      <c r="J29" s="50"/>
      <c r="K29" s="50"/>
      <c r="L29" s="40" t="n">
        <f aca="false">I25</f>
        <v>3000</v>
      </c>
    </row>
    <row r="30" customFormat="false" ht="27.75" hidden="false" customHeight="true" outlineLevel="0" collapsed="false">
      <c r="A30" s="51" t="str">
        <f aca="false">"• עלות אחזקה "&amp;TEXT(הגדרות!$C$24,"#,##0")&amp;" ₪ (שכירות, חשמל, ביטוח) ובלאי ציוד "&amp;TEXT(הגדרות!$C$25,"#,##0")&amp;" ₪ (מסורית גקסון, ניירות שיוף, ברגים)."</f>
        <v>• עלות אחזקה 150 ₪ (שכירות, חשמל, ביטוח) ובלאי ציוד 150 ₪ (מסורית גקסון, ניירות שיוף, ברגים).</v>
      </c>
      <c r="B30" s="51"/>
      <c r="C30" s="51"/>
      <c r="D30" s="51"/>
      <c r="E30" s="51"/>
      <c r="F30" s="51"/>
      <c r="G30" s="51"/>
      <c r="H30" s="50" t="s">
        <v>112</v>
      </c>
      <c r="I30" s="50"/>
      <c r="J30" s="50"/>
      <c r="K30" s="50"/>
      <c r="L30" s="40" t="n">
        <f aca="false">L25</f>
        <v>0</v>
      </c>
    </row>
    <row r="31" customFormat="false" ht="19.5" hidden="false" customHeight="true" outlineLevel="0" collapsed="false">
      <c r="A31" s="51" t="str">
        <f aca="false">"• תקציב עץ: "&amp;TEXT(הגדרות!$C$27,"#,##0")&amp;" ₪ למשתתף."</f>
        <v>• תקציב עץ: 100 ₪ למשתתף.</v>
      </c>
      <c r="B31" s="51"/>
      <c r="C31" s="51"/>
      <c r="D31" s="51"/>
      <c r="E31" s="51"/>
      <c r="F31" s="51"/>
      <c r="G31" s="51"/>
      <c r="H31" s="52" t="s">
        <v>113</v>
      </c>
      <c r="I31" s="52"/>
      <c r="J31" s="52"/>
      <c r="K31" s="52"/>
      <c r="L31" s="41" t="n">
        <f aca="false">L28+L29+L30</f>
        <v>9500</v>
      </c>
    </row>
    <row r="32" customFormat="false" ht="19.5" hidden="false" customHeight="true" outlineLevel="0" collapsed="false">
      <c r="A32" s="51" t="str">
        <f aca="false">IF(הגדרות!$C$34="","","• "&amp;הגדרות!$C$34)</f>
        <v>• המחירים אינם כוללים מע״מ. מע״מ יתווסף כחוק.</v>
      </c>
      <c r="B32" s="51"/>
      <c r="C32" s="51"/>
      <c r="D32" s="51"/>
      <c r="E32" s="51"/>
      <c r="F32" s="51"/>
      <c r="G32" s="51"/>
      <c r="H32" s="50" t="str">
        <f aca="false">"מע״מ "&amp;ROUND(הגדרות!$C$31*100,1)&amp;"%"</f>
        <v>מע״מ 18%</v>
      </c>
      <c r="I32" s="50"/>
      <c r="J32" s="50"/>
      <c r="K32" s="50"/>
      <c r="L32" s="40" t="n">
        <f aca="false">ROUND(L31*הגדרות!$C$31,2)</f>
        <v>1710</v>
      </c>
    </row>
    <row r="33" customFormat="false" ht="27.75" hidden="false" customHeight="true" outlineLevel="0" collapsed="false">
      <c r="A33" s="51" t="str">
        <f aca="false">IF(הגדרות!$C$35="","","• "&amp;הגדרות!$C$35)</f>
        <v>• פרויקטים גדולים ומיוחדים מתומחרים בנפרד לפי עלות החומרים, באישור החווה.</v>
      </c>
      <c r="B33" s="51"/>
      <c r="C33" s="51"/>
      <c r="D33" s="51"/>
      <c r="E33" s="51"/>
      <c r="F33" s="51"/>
      <c r="G33" s="51"/>
      <c r="H33" s="53" t="s">
        <v>114</v>
      </c>
      <c r="I33" s="53"/>
      <c r="J33" s="53"/>
      <c r="K33" s="53"/>
      <c r="L33" s="54" t="n">
        <f aca="false">L31+L32</f>
        <v>11210</v>
      </c>
    </row>
    <row r="34" customFormat="false" ht="15" hidden="false" customHeight="false" outlineLevel="0" collapsed="false">
      <c r="A34" s="51" t="str">
        <f aca="false">IF(הגדרות!$C$36="","","• "&amp;הגדרות!$C$36)</f>
        <v/>
      </c>
      <c r="B34" s="51"/>
      <c r="C34" s="51"/>
      <c r="D34" s="51"/>
      <c r="E34" s="51"/>
      <c r="F34" s="51"/>
      <c r="G34" s="51"/>
    </row>
    <row r="35" customFormat="false" ht="15" hidden="false" customHeight="false" outlineLevel="0" collapsed="false">
      <c r="A35" s="49" t="s">
        <v>115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customFormat="false" ht="15.75" hidden="false" customHeight="true" outlineLevel="0" collapsed="false">
      <c r="A36" s="51" t="str">
        <f aca="false">"• "&amp;הגדרות!$C$39</f>
        <v>• ביטול מלא של הסדנא: ביטול של עד 48 שעות לפני מועד הסדנא – ללא חיוב.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</row>
    <row r="37" customFormat="false" ht="15.75" hidden="false" customHeight="true" outlineLevel="0" collapsed="false">
      <c r="A37" s="51" t="str">
        <f aca="false">"• "&amp;הגדרות!$C$40</f>
        <v>• מספר המשתתפים: הסדנא מתוכננת ומוכנה מראש בהתאם למספר המשתתפים שסוכם, עד 6 משתתפים.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</row>
    <row r="38" customFormat="false" ht="15.75" hidden="false" customHeight="true" outlineLevel="0" collapsed="false">
      <c r="A38" s="51" t="str">
        <f aca="false">"• "&amp;הגדרות!$C$41</f>
        <v>• הפחתת מספר המשתתפים: יש לעדכן על שינוי במספר המשתתפים עד 24 שעות לפני הסדנא.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</row>
    <row r="39" customFormat="false" ht="25.5" hidden="false" customHeight="true" outlineLevel="0" collapsed="false">
      <c r="A39" s="51" t="str">
        <f aca="false">"• "&amp;הגדרות!$C$42</f>
        <v>• אי הגעה ללא עדכון מראש: במקרה שבו סוכם על 6 משתתפים ובפועל הגיעו פחות, ללא עדכון של 24 שעות לפני, החיוב יישאר בהתאם למספר המשתתפים שסוכם מראש, וזאת בשל הכנת ורכישת חומרי גלם מראש.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</row>
    <row r="42" customFormat="false" ht="15" hidden="false" customHeight="false" outlineLevel="0" collapsed="false">
      <c r="A42" s="55" t="str">
        <f aca="false">"בברכה, "&amp;הגדרות!$C$6</f>
        <v>בברכה, (למילוי)</v>
      </c>
      <c r="B42" s="55"/>
      <c r="C42" s="55"/>
      <c r="D42" s="55"/>
      <c r="E42" s="55"/>
      <c r="H42" s="55" t="s">
        <v>116</v>
      </c>
      <c r="I42" s="55"/>
      <c r="J42" s="55"/>
      <c r="K42" s="55"/>
      <c r="L42" s="55"/>
    </row>
  </sheetData>
  <sheetProtection sheet="true"/>
  <mergeCells count="52">
    <mergeCell ref="A1:L1"/>
    <mergeCell ref="A2:L2"/>
    <mergeCell ref="A4:E4"/>
    <mergeCell ref="G4:L4"/>
    <mergeCell ref="A5:B5"/>
    <mergeCell ref="C5:E5"/>
    <mergeCell ref="G5:H5"/>
    <mergeCell ref="I5:L5"/>
    <mergeCell ref="A6:B6"/>
    <mergeCell ref="C6:E6"/>
    <mergeCell ref="G6:H6"/>
    <mergeCell ref="I6:L6"/>
    <mergeCell ref="A7:B7"/>
    <mergeCell ref="C7:E7"/>
    <mergeCell ref="G7:H7"/>
    <mergeCell ref="I7:L7"/>
    <mergeCell ref="A8:B8"/>
    <mergeCell ref="C8:E8"/>
    <mergeCell ref="A9:B9"/>
    <mergeCell ref="C9:E9"/>
    <mergeCell ref="A11:B11"/>
    <mergeCell ref="C11:E11"/>
    <mergeCell ref="G11:H11"/>
    <mergeCell ref="I11:L11"/>
    <mergeCell ref="A12:B12"/>
    <mergeCell ref="C12:E12"/>
    <mergeCell ref="G12:H12"/>
    <mergeCell ref="I12:L12"/>
    <mergeCell ref="A13:J13"/>
    <mergeCell ref="K13:L13"/>
    <mergeCell ref="A25:F25"/>
    <mergeCell ref="A26:L26"/>
    <mergeCell ref="A28:G28"/>
    <mergeCell ref="H28:K28"/>
    <mergeCell ref="A29:G29"/>
    <mergeCell ref="H29:K29"/>
    <mergeCell ref="A30:G30"/>
    <mergeCell ref="H30:K30"/>
    <mergeCell ref="A31:G31"/>
    <mergeCell ref="H31:K31"/>
    <mergeCell ref="A32:G32"/>
    <mergeCell ref="H32:K32"/>
    <mergeCell ref="A33:G33"/>
    <mergeCell ref="H33:K33"/>
    <mergeCell ref="A34:G34"/>
    <mergeCell ref="A35:L35"/>
    <mergeCell ref="A36:L36"/>
    <mergeCell ref="A37:L37"/>
    <mergeCell ref="A38:L38"/>
    <mergeCell ref="A39:L39"/>
    <mergeCell ref="A42:E42"/>
    <mergeCell ref="H42:L42"/>
  </mergeCells>
  <conditionalFormatting sqref="D15:D24">
    <cfRule type="expression" priority="2" aboveAverage="0" equalAverage="0" bottom="0" percent="0" rank="0" text="" dxfId="0">
      <formula>$B15=""</formula>
    </cfRule>
    <cfRule type="expression" priority="3" aboveAverage="0" equalAverage="0" bottom="0" percent="0" rank="0" text="" dxfId="1">
      <formula>$D15="בוטל ללא התראה"</formula>
    </cfRule>
  </conditionalFormatting>
  <conditionalFormatting sqref="A15:J24">
    <cfRule type="expression" priority="4" aboveAverage="0" equalAverage="0" bottom="0" percent="0" rank="0" text="" dxfId="2">
      <formula>$D15="בוטל בהתראה"</formula>
    </cfRule>
  </conditionalFormatting>
  <dataValidations count="3">
    <dataValidation allowBlank="true" errorStyle="stop" operator="between" showDropDown="false" showErrorMessage="false" showInputMessage="false" sqref="D15:D24" type="list">
      <formula1>"התקיים,בוטל בהתראה,בוטל ללא התראה"</formula1>
      <formula2>0</formula2>
    </dataValidation>
    <dataValidation allowBlank="true" error="יש להקליד מספר שלם בין 1 ל־7." errorStyle="stop" errorTitle="מספר משתתפים" operator="between" showDropDown="false" showErrorMessage="true" showInputMessage="false" sqref="E15:F24" type="whole">
      <formula1>1</formula1>
      <formula2>הגדרות!$C$29</formula2>
    </dataValidation>
    <dataValidation allowBlank="true" error="יש להקליד תאריך, למשל 25/08/2026." errorStyle="stop" errorTitle="תאריך" operator="between" showDropDown="false" showErrorMessage="true" showInputMessage="false" sqref="B15:B24" type="date">
      <formula1>DATE(2025,1,1)</formula1>
      <formula2>DATE(2030,12,31)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2026-10-19T08:58:32Z</dcterms:created>
  <dc:creator>openpyxl</dc:creator>
  <dc:description/>
  <dc:language>en-US</dc:language>
  <cp:lastModifiedBy/>
  <dcterms:modified xsi:type="dcterms:W3CDTF">2026-10-19T08:58:33Z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