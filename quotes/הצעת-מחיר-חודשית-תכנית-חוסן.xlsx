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2027'!$A$1:$K$37</definedName>
    <definedName function="false" hidden="false" localSheetId="3" name="_xlnm.Print_Area" vbProcedure="false">'אוקטובר 2026'!$A$1:$K$37</definedName>
    <definedName function="false" hidden="false" localSheetId="9" name="_xlnm.Print_Area" vbProcedure="false">'אפריל 2027'!$A$1:$K$37</definedName>
    <definedName function="false" hidden="false" localSheetId="5" name="_xlnm.Print_Area" vbProcedure="false">'דצמבר 2026'!$A$1:$K$37</definedName>
    <definedName function="false" hidden="false" localSheetId="12" name="_xlnm.Print_Area" vbProcedure="false">'יולי 2027'!$A$1:$K$37</definedName>
    <definedName function="false" hidden="false" localSheetId="11" name="_xlnm.Print_Area" vbProcedure="false">'יוני 2027'!$A$1:$K$37</definedName>
    <definedName function="false" hidden="false" localSheetId="6" name="_xlnm.Print_Area" vbProcedure="false">'ינואר 2027'!$A$1:$K$37</definedName>
    <definedName function="false" hidden="false" localSheetId="10" name="_xlnm.Print_Area" vbProcedure="false">'מאי 2027'!$A$1:$K$37</definedName>
    <definedName function="false" hidden="false" localSheetId="8" name="_xlnm.Print_Area" vbProcedure="false">'מרץ 2027'!$A$1:$K$37</definedName>
    <definedName function="false" hidden="false" localSheetId="4" name="_xlnm.Print_Area" vbProcedure="false">'נובמבר 2026'!$A$1:$K$37</definedName>
    <definedName function="false" hidden="false" localSheetId="2" name="_xlnm.Print_Area" vbProcedure="false">'ספטמבר 2026'!$A$1:$K$37</definedName>
    <definedName function="false" hidden="false" localSheetId="14" name="_xlnm.Print_Area" vbProcedure="false">'ספטמבר 2027'!$A$1:$K$37</definedName>
    <definedName function="false" hidden="false" localSheetId="7" name="_xlnm.Print_Area" vbProcedure="false">'פברואר 2027'!$A$1:$K$37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19" authorId="0">
      <text>
        <r>
          <rPr>
            <sz val="10"/>
            <rFont val="FreeSans"/>
            <family val="2"/>
          </rPr>
          <t xml:space="preserve">מפגש שבועי אחד בשבוע. 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0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2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6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7" authorId="0">
      <text>
        <r>
          <rPr>
            <sz val="10"/>
            <rFont val="FreeSans"/>
            <family val="2"/>
          </rPr>
          <t xml:space="preserve">נכנס אוטומטית לכל מפגש. אפשר לשנות בגיליון החודש למפגש מסוים</t>
        </r>
        <r>
          <rPr>
            <sz val="10"/>
            <rFont val="Arial"/>
            <family val="2"/>
          </rPr>
          <t xml:space="preserve">.</t>
        </r>
      </text>
    </comment>
    <comment ref="C28" authorId="0">
      <text>
        <r>
          <rPr>
            <sz val="10"/>
            <rFont val="Arial"/>
            <family val="2"/>
          </rPr>
          <t xml:space="preserve">1 </t>
        </r>
        <r>
          <rPr>
            <sz val="10"/>
            <rFont val="FreeSans"/>
            <family val="2"/>
          </rPr>
          <t xml:space="preserve">עד </t>
        </r>
        <r>
          <rPr>
            <sz val="10"/>
            <rFont val="Arial"/>
            <family val="2"/>
          </rPr>
          <t xml:space="preserve">7 משתתפים – לפי מה שסוכם.</t>
        </r>
      </text>
    </comment>
    <comment ref="C29" authorId="0">
      <text>
        <r>
          <rPr>
            <sz val="10"/>
            <rFont val="FreeSans"/>
            <family val="2"/>
          </rPr>
          <t xml:space="preserve">תנאי הביטול: ביטול עד </t>
        </r>
        <r>
          <rPr>
            <sz val="10"/>
            <rFont val="Arial"/>
            <family val="2"/>
          </rPr>
          <t xml:space="preserve">48 שעות לפני – ללא חיוב. ביטול מאוחר יותר מחויב; ברירת המחדל היא חיוב מלא (תשלום בסיסי + המשתתפים שסוכמו), כי העצים והחומרים כבר נקנו. אפשר לשנות כאן.</t>
        </r>
      </text>
    </comment>
    <comment ref="C30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1/10/2026) – כל התאריכים בטבלה מתעדכנים לפיו.</t>
        </r>
      </text>
    </comment>
  </commentList>
</comments>
</file>

<file path=xl/sharedStrings.xml><?xml version="1.0" encoding="utf-8"?>
<sst xmlns="http://schemas.openxmlformats.org/spreadsheetml/2006/main" count="608" uniqueCount="110">
  <si>
    <t xml:space="preserve">איך משתמשים בקובץ – תכנית חוסן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</si>
  <si>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</si>
  <si>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גיליונות החודשים מושכים את הפרטים משם.</t>
  </si>
  <si>
    <t xml:space="preserve">2. בסוף כל חודש</t>
  </si>
  <si>
    <t xml:space="preserve">פותחים את הגיליון של החודש (למשל "ספטמבר 2026"). התאריכים של ימי רביעי בחודש מחושבים אוטומטית.</t>
  </si>
  <si>
    <t xml:space="preserve">3. סטטוס כל מפגש</t>
  </si>
  <si>
    <t xml:space="preserve">בעמודה "סטטוס" בוחרים: "התקיים"; "בוטל בהתראה" – בוטל עד 48 שעות לפני, ללא חיוב (השורה תימחק בקו); "בוטל ללא התראה" – פחות מ־48 שעות לפני, בחיוב.</t>
  </si>
  <si>
    <t xml:space="preserve">4. משתתפים</t>
  </si>
  <si>
    <t xml:space="preserve">"משתתפים שסוכמו" ממולא אוטומטית מההגדרות (6). אם החווה עדכנה עד 24 שעות לפני – מקלידים את המספר המעודכן. ב"הגיעו בפועל" רושמים כמה הגיעו (1–7). החיוב הוא לפי הגבוה מביניהם – כך אי־הגעה ללא עדכון מחויבת לפי מה שסוכם.</t>
  </si>
  <si>
    <t xml:space="preserve">5. פרויקטים מיוחדים</t>
  </si>
  <si>
    <t xml:space="preserve">בשתי העמודות השמאליות רושמים פרויקטים שאושרו ע״י החווה – תיאור וסכום לפני מע״מ (לפי עלות החומרים). הם נכנסים לסיכום בנפרד.</t>
  </si>
  <si>
    <t xml:space="preserve">6. שליחה</t>
  </si>
  <si>
    <t xml:space="preserve">קובץ ← שמירה בשם / ייצוא ← PDF, ושולחים לחווה. הגיליון מוגדר לעמוד A4 אחד.</t>
  </si>
  <si>
    <t xml:space="preserve">מפגש השלמה ביום אחר</t>
  </si>
  <si>
    <t xml:space="preserve">אפשר להקליד תאריך אחר מעל התאריך שבשורה – החישוב ממשיך לעבוד.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</si>
  <si>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</si>
  <si>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</si>
  <si>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מחירים / תנאים</t>
  </si>
  <si>
    <t xml:space="preserve">משנים בגיליון "הגדרות" – כל החודשים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</si>
  <si>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</si>
  <si>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</si>
  <si>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החודש – למילוי חודשי (חודש, סטטוס, משתתפים, פרויקטים)</t>
  </si>
  <si>
    <t xml:space="preserve">דוגמה לשורת פרויקט מיוחד</t>
  </si>
  <si>
    <t xml:space="preserve">פרויקט מיוחד – תיאור</t>
  </si>
  <si>
    <t xml:space="preserve">פרויקט מיוחד – סכום (₪)</t>
  </si>
  <si>
    <t xml:space="preserve">פרגולת עץ לפינת הישיבה</t>
  </si>
  <si>
    <t xml:space="preserve">הגדרות קבועות – ממלאים פעם אחת</t>
  </si>
  <si>
    <t xml:space="preserve">תאים צהובים = למילוי. כל גיליונות החודשים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</si>
  <si>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</si>
  <si>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</si>
  <si>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</si>
  <si>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</si>
  <si>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</si>
  <si>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</si>
  <si>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</si>
  <si>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</si>
  <si>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</si>
  <si>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</si>
  <si>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</si>
  <si>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</si>
  <si>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</si>
  <si>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</si>
  <si>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</si>
  <si>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</si>
  <si>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</si>
  <si>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</si>
  <si>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</si>
  <si>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</si>
  <si>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</si>
  <si>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</si>
  <si>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</si>
  <si>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המפגשים והתמחור</t>
  </si>
  <si>
    <t xml:space="preserve">שם התכנית</t>
  </si>
  <si>
    <t xml:space="preserve">תכנית חוסן</t>
  </si>
  <si>
    <t xml:space="preserve">שם הקבוצה</t>
  </si>
  <si>
    <t xml:space="preserve">הוותיקה</t>
  </si>
  <si>
    <t xml:space="preserve">יום המפגש</t>
  </si>
  <si>
    <t xml:space="preserve">שעות עבודה למפגש</t>
  </si>
  <si>
    <t xml:space="preserve">פירוט שעות העבודה</t>
  </si>
  <si>
    <t xml:space="preserve">שעת נסיעה לרכישת עצים ומלאי, שעתיים התארגנות וניקיון, שעתיים סדנא ומפגש צוות שבועי</t>
  </si>
  <si>
    <t xml:space="preserve">שכר עבודה למפגש (₪)</t>
  </si>
  <si>
    <t xml:space="preserve">עלות אחזקה למפגש (₪) – שכירות, חשמל, ביטוח</t>
  </si>
  <si>
    <t xml:space="preserve">בלאי ציוד למפגש (₪) – מסורית גקסון, ניירות שיוף, ברגים</t>
  </si>
  <si>
    <t xml:space="preserve">תשלום בסיסי למפגש (מחושב)</t>
  </si>
  <si>
    <t xml:space="preserve">תקציב עץ למשתתף (₪)</t>
  </si>
  <si>
    <t xml:space="preserve">משתתפים שסוכמו – ברירת מחדל</t>
  </si>
  <si>
    <t xml:space="preserve">מקסימום משתתפים לחיוב</t>
  </si>
  <si>
    <t xml:space="preserve">ביטול ללא התראה (פחות מ־48 שעות) – שיעור חיוב</t>
  </si>
  <si>
    <t xml:space="preserve">שיעור מע״מ</t>
  </si>
  <si>
    <t xml:space="preserve">הערות שיופיעו בהצעה</t>
  </si>
  <si>
    <t xml:space="preserve">הערה 1</t>
  </si>
  <si>
    <t xml:space="preserve">המחירים אינם כוללים מע״מ. מע״מ יתווסף כחוק.</t>
  </si>
  <si>
    <t xml:space="preserve">הערה 2</t>
  </si>
  <si>
    <t xml:space="preserve">פרויקטים גדולים ומיוחדים מתומחרים בנפרד לפי עלות החומרים, באישור החווה.</t>
  </si>
  <si>
    <t xml:space="preserve">הערה 3 (למשל תנאי תשלום)</t>
  </si>
  <si>
    <t xml:space="preserve">תנאי ביטול ותנאים כלליים (מופיעים בתחתית ההצעה)</t>
  </si>
  <si>
    <t xml:space="preserve">תנאי 1</t>
  </si>
  <si>
    <t xml:space="preserve">ביטול מלא של הסדנא: ביטול של עד 48 שעות לפני מועד הסדנא – ללא חיוב.</t>
  </si>
  <si>
    <t xml:space="preserve">תנאי 2</t>
  </si>
  <si>
    <t xml:space="preserve">מספר המשתתפים: הסדנא מתוכננת ומוכנה מראש בהתאם למספר המשתתפים שסוכם, עד 6 משתתפים.</t>
  </si>
  <si>
    <t xml:space="preserve">תנאי 3</t>
  </si>
  <si>
    <t xml:space="preserve">הפחתת מספר המשתתפים: יש לעדכן על שינוי במספר המשתתפים עד 24 שעות לפני הסדנא.</t>
  </si>
  <si>
    <t xml:space="preserve">תנאי 4</t>
  </si>
  <si>
    <t xml:space="preserve">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</si>
  <si>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</si>
  <si>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</si>
  <si>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</si>
  <si>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</si>
  <si>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</si>
  <si>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חודש השירות</t>
  </si>
  <si>
    <t xml:space="preserve">תאריך</t>
  </si>
  <si>
    <t xml:space="preserve">תמחור</t>
  </si>
  <si>
    <t xml:space="preserve">פרויקטים מיוחדים – באישור החווה</t>
  </si>
  <si>
    <t xml:space="preserve">#</t>
  </si>
  <si>
    <t xml:space="preserve">סטטוס</t>
  </si>
  <si>
    <t xml:space="preserve">משתתפים שסוכמו</t>
  </si>
  <si>
    <t xml:space="preserve">הגיעו בפועל</t>
  </si>
  <si>
    <t xml:space="preserve">משתתפים לחיוב</t>
  </si>
  <si>
    <t xml:space="preserve">תשלום בסיסי (₪)</t>
  </si>
  <si>
    <t xml:space="preserve">תקציב עץ (₪)</t>
  </si>
  <si>
    <t xml:space="preserve">סה״כ למפגש (₪)</t>
  </si>
  <si>
    <t xml:space="preserve">התקיים</t>
  </si>
  <si>
    <t xml:space="preserve">סה״כ</t>
  </si>
  <si>
    <t xml:space="preserve">סטטוס: "בוטל בהתראה" – עד 48 שעות לפני המפגש, ללא חיוב · "בוטל ללא התראה" – פחות מ־48 שעות לפני, בחיוב לפי מספר המשתתפים שסוכם · משתתפים לחיוב = הגבוה מבין שסוכמו (כפי שעודכן עד 24 שעות לפני) ומי שהגיעו בפועל.</t>
  </si>
  <si>
    <t xml:space="preserve">פירוט התמחור</t>
  </si>
  <si>
    <t xml:space="preserve">פרויקטים מיוחדים</t>
  </si>
  <si>
    <t xml:space="preserve">סה״כ לפני מע״מ</t>
  </si>
  <si>
    <t xml:space="preserve">סה״כ לתשלום (כולל מע״מ)</t>
  </si>
  <si>
    <t xml:space="preserve">תנאי ביטול ותנאים כלליים</t>
  </si>
  <si>
    <t xml:space="preserve">חתימה: ____________________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</si>
</sst>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₪&quot;"/>
    <numFmt numFmtId="166" formatCode="General"/>
    <numFmt numFmtId="167" formatCode="0"/>
    <numFmt numFmtId="168" formatCode="0%"/>
    <numFmt numFmtId="169" formatCode="dd/mm/yyyy"/>
    <numFmt numFmtId="170" formatCode="[$-40D]mmmm\ yyyy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i val="true"/>
      <sz val="8"/>
      <color rgb="FF8A7F75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8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0" fontId="22" fillId="3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9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6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FFFFF"/>
      </font>
      <fill>
        <patternFill>
          <bgColor rgb="FFFFFFFF"/>
        </patternFill>
      </fill>
    </dxf>
    <dxf>
      <font>
        <b val="1"/>
        <color rgb="FF9A6535"/>
      </font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3" customFormat="false" ht="15" hidden="false" customHeight="false" outlineLevel="0" collapsed="false">
      <c r="B13" s="4" t="s">
        <v>19</v>
      </c>
    </row>
    <row r="14" customFormat="false" ht="15" hidden="false" customHeight="false" outlineLevel="0" collapsed="false">
      <c r="B14" s="5"/>
      <c r="C14" s="6" t="s">
        <v>20</v>
      </c>
    </row>
    <row r="15" customFormat="false" ht="31.5" hidden="false" customHeight="true" outlineLevel="0" collapsed="false">
      <c r="B15" s="7"/>
      <c r="C15" s="8" t="s">
        <v>21</v>
      </c>
    </row>
    <row r="17" customFormat="false" ht="15" hidden="false" customHeight="false" outlineLevel="0" collapsed="false">
      <c r="B17" s="4" t="s">
        <v>22</v>
      </c>
    </row>
    <row r="18" customFormat="false" ht="15" hidden="false" customHeight="false" outlineLevel="0" collapsed="false">
      <c r="B18" s="9" t="s">
        <v>23</v>
      </c>
      <c r="C18" s="9" t="s">
        <v>24</v>
      </c>
    </row>
    <row r="19" customFormat="false" ht="15" hidden="false" customHeight="false" outlineLevel="0" collapsed="false">
      <c r="B19" s="10" t="s">
        <v>25</v>
      </c>
      <c r="C19" s="11" t="n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60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26</v>
      </c>
    </row>
    <row r="2" customFormat="false" ht="15" hidden="false" customHeight="false" outlineLevel="0" collapsed="false">
      <c r="B2" s="12" t="s">
        <v>27</v>
      </c>
    </row>
    <row r="4" customFormat="false" ht="15" hidden="false" customHeight="false" outlineLevel="0" collapsed="false">
      <c r="B4" s="13" t="s">
        <v>28</v>
      </c>
      <c r="C4" s="14"/>
      <c r="F4" s="15" t="s">
        <v>29</v>
      </c>
    </row>
    <row r="5" customFormat="false" ht="15" hidden="false" customHeight="false" outlineLevel="0" collapsed="false">
      <c r="B5" s="16" t="s">
        <v>30</v>
      </c>
      <c r="C5" s="17" t="s">
        <v>31</v>
      </c>
      <c r="F5" s="18" t="s">
        <v>32</v>
      </c>
    </row>
    <row r="6" customFormat="false" ht="15" hidden="false" customHeight="false" outlineLevel="0" collapsed="false">
      <c r="B6" s="16" t="s">
        <v>33</v>
      </c>
      <c r="C6" s="17" t="s">
        <v>34</v>
      </c>
      <c r="F6" s="18" t="s">
        <v>35</v>
      </c>
    </row>
    <row r="7" customFormat="false" ht="15" hidden="false" customHeight="false" outlineLevel="0" collapsed="false">
      <c r="B7" s="16" t="s">
        <v>36</v>
      </c>
      <c r="C7" s="17" t="s">
        <v>34</v>
      </c>
      <c r="F7" s="18" t="s">
        <v>37</v>
      </c>
    </row>
    <row r="8" customFormat="false" ht="15" hidden="false" customHeight="false" outlineLevel="0" collapsed="false">
      <c r="B8" s="16" t="s">
        <v>38</v>
      </c>
      <c r="C8" s="17" t="s">
        <v>34</v>
      </c>
      <c r="F8" s="18" t="s">
        <v>39</v>
      </c>
    </row>
    <row r="9" customFormat="false" ht="15" hidden="false" customHeight="false" outlineLevel="0" collapsed="false">
      <c r="B9" s="16" t="s">
        <v>40</v>
      </c>
      <c r="C9" s="17" t="s">
        <v>41</v>
      </c>
      <c r="F9" s="18" t="s">
        <v>42</v>
      </c>
    </row>
    <row r="10" customFormat="false" ht="15" hidden="false" customHeight="false" outlineLevel="0" collapsed="false">
      <c r="F10" s="18" t="s">
        <v>43</v>
      </c>
    </row>
    <row r="11" customFormat="false" ht="15" hidden="false" customHeight="false" outlineLevel="0" collapsed="false">
      <c r="B11" s="13" t="s">
        <v>44</v>
      </c>
      <c r="C11" s="14"/>
      <c r="F11" s="18" t="s">
        <v>45</v>
      </c>
    </row>
    <row r="12" customFormat="false" ht="15" hidden="false" customHeight="false" outlineLevel="0" collapsed="false">
      <c r="B12" s="16" t="s">
        <v>46</v>
      </c>
      <c r="C12" s="17" t="s">
        <v>47</v>
      </c>
    </row>
    <row r="13" customFormat="false" ht="15" hidden="false" customHeight="false" outlineLevel="0" collapsed="false">
      <c r="B13" s="16" t="s">
        <v>48</v>
      </c>
      <c r="C13" s="17" t="s">
        <v>49</v>
      </c>
    </row>
    <row r="14" customFormat="false" ht="15" hidden="false" customHeight="false" outlineLevel="0" collapsed="false">
      <c r="B14" s="16" t="s">
        <v>50</v>
      </c>
      <c r="C14" s="17" t="s">
        <v>34</v>
      </c>
    </row>
    <row r="16" customFormat="false" ht="15" hidden="false" customHeight="false" outlineLevel="0" collapsed="false">
      <c r="B16" s="13" t="s">
        <v>51</v>
      </c>
      <c r="C16" s="14"/>
    </row>
    <row r="17" customFormat="false" ht="15" hidden="false" customHeight="false" outlineLevel="0" collapsed="false">
      <c r="B17" s="16" t="s">
        <v>52</v>
      </c>
      <c r="C17" s="17" t="s">
        <v>53</v>
      </c>
    </row>
    <row r="18" customFormat="false" ht="15" hidden="false" customHeight="false" outlineLevel="0" collapsed="false">
      <c r="B18" s="16" t="s">
        <v>54</v>
      </c>
      <c r="C18" s="17" t="s">
        <v>55</v>
      </c>
    </row>
    <row r="19" customFormat="false" ht="15" hidden="false" customHeight="false" outlineLevel="0" collapsed="false">
      <c r="B19" s="16" t="s">
        <v>56</v>
      </c>
      <c r="C19" s="17" t="s">
        <v>39</v>
      </c>
      <c r="D19" s="19" t="n">
        <f aca="false">MATCH(C19,$F$5:$F$11,0)</f>
        <v>4</v>
      </c>
    </row>
    <row r="20" customFormat="false" ht="15" hidden="false" customHeight="false" outlineLevel="0" collapsed="false">
      <c r="B20" s="16" t="s">
        <v>57</v>
      </c>
      <c r="C20" s="20" t="n">
        <v>6</v>
      </c>
    </row>
    <row r="21" customFormat="false" ht="30" hidden="false" customHeight="true" outlineLevel="0" collapsed="false">
      <c r="B21" s="16" t="s">
        <v>58</v>
      </c>
      <c r="C21" s="17" t="s">
        <v>59</v>
      </c>
    </row>
    <row r="22" customFormat="false" ht="15" hidden="false" customHeight="false" outlineLevel="0" collapsed="false">
      <c r="B22" s="16" t="s">
        <v>60</v>
      </c>
      <c r="C22" s="21" t="n">
        <v>1000</v>
      </c>
    </row>
    <row r="23" customFormat="false" ht="15" hidden="false" customHeight="false" outlineLevel="0" collapsed="false">
      <c r="B23" s="16" t="s">
        <v>61</v>
      </c>
      <c r="C23" s="21" t="n">
        <v>150</v>
      </c>
    </row>
    <row r="24" customFormat="false" ht="15" hidden="false" customHeight="false" outlineLevel="0" collapsed="false">
      <c r="B24" s="16" t="s">
        <v>62</v>
      </c>
      <c r="C24" s="21" t="n">
        <v>150</v>
      </c>
    </row>
    <row r="25" customFormat="false" ht="15" hidden="false" customHeight="false" outlineLevel="0" collapsed="false">
      <c r="B25" s="16" t="s">
        <v>63</v>
      </c>
      <c r="C25" s="22" t="n">
        <f aca="false">SUM(C22:C24)</f>
        <v>1300</v>
      </c>
    </row>
    <row r="26" customFormat="false" ht="15" hidden="false" customHeight="false" outlineLevel="0" collapsed="false">
      <c r="B26" s="16" t="s">
        <v>64</v>
      </c>
      <c r="C26" s="21" t="n">
        <v>100</v>
      </c>
    </row>
    <row r="27" customFormat="false" ht="15" hidden="false" customHeight="false" outlineLevel="0" collapsed="false">
      <c r="B27" s="16" t="s">
        <v>65</v>
      </c>
      <c r="C27" s="20" t="n">
        <v>6</v>
      </c>
    </row>
    <row r="28" customFormat="false" ht="15" hidden="false" customHeight="false" outlineLevel="0" collapsed="false">
      <c r="B28" s="16" t="s">
        <v>66</v>
      </c>
      <c r="C28" s="20" t="n">
        <v>7</v>
      </c>
    </row>
    <row r="29" customFormat="false" ht="15" hidden="false" customHeight="false" outlineLevel="0" collapsed="false">
      <c r="B29" s="16" t="s">
        <v>67</v>
      </c>
      <c r="C29" s="23" t="n">
        <v>1</v>
      </c>
    </row>
    <row r="30" customFormat="false" ht="15" hidden="false" customHeight="false" outlineLevel="0" collapsed="false">
      <c r="B30" s="16" t="s">
        <v>68</v>
      </c>
      <c r="C30" s="23" t="n">
        <v>0.18</v>
      </c>
    </row>
    <row r="32" customFormat="false" ht="15" hidden="false" customHeight="false" outlineLevel="0" collapsed="false">
      <c r="B32" s="13" t="s">
        <v>69</v>
      </c>
      <c r="C32" s="14"/>
    </row>
    <row r="33" customFormat="false" ht="30" hidden="false" customHeight="true" outlineLevel="0" collapsed="false">
      <c r="B33" s="16" t="s">
        <v>70</v>
      </c>
      <c r="C33" s="17" t="s">
        <v>71</v>
      </c>
    </row>
    <row r="34" customFormat="false" ht="30" hidden="false" customHeight="true" outlineLevel="0" collapsed="false">
      <c r="B34" s="16" t="s">
        <v>72</v>
      </c>
      <c r="C34" s="17" t="s">
        <v>73</v>
      </c>
    </row>
    <row r="35" customFormat="false" ht="15" hidden="false" customHeight="false" outlineLevel="0" collapsed="false">
      <c r="B35" s="16" t="s">
        <v>74</v>
      </c>
      <c r="C35" s="17"/>
    </row>
    <row r="37" customFormat="false" ht="15" hidden="false" customHeight="false" outlineLevel="0" collapsed="false">
      <c r="B37" s="13" t="s">
        <v>75</v>
      </c>
      <c r="C37" s="14"/>
    </row>
    <row r="38" customFormat="false" ht="18" hidden="false" customHeight="true" outlineLevel="0" collapsed="false">
      <c r="B38" s="16" t="s">
        <v>76</v>
      </c>
      <c r="C38" s="17" t="s">
        <v>77</v>
      </c>
    </row>
    <row r="39" customFormat="false" ht="30" hidden="false" customHeight="true" outlineLevel="0" collapsed="false">
      <c r="B39" s="16" t="s">
        <v>78</v>
      </c>
      <c r="C39" s="17" t="s">
        <v>79</v>
      </c>
    </row>
    <row r="40" customFormat="false" ht="18" hidden="false" customHeight="true" outlineLevel="0" collapsed="false">
      <c r="B40" s="16" t="s">
        <v>80</v>
      </c>
      <c r="C40" s="17" t="s">
        <v>81</v>
      </c>
    </row>
    <row r="41" customFormat="false" ht="30" hidden="false" customHeight="true" outlineLevel="0" collapsed="false">
      <c r="B41" s="16" t="s">
        <v>82</v>
      </c>
      <c r="C41" s="17" t="s">
        <v>83</v>
      </c>
    </row>
  </sheetData>
  <dataValidations count="1">
    <dataValidation allowBlank="false" errorStyle="stop" operator="between" showDropDown="false" showErrorMessage="false" showInputMessage="false" sqref="C19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46266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ספטמבר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46295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חוסן-2026-09</v>
      </c>
      <c r="D11" s="29"/>
      <c r="E11" s="29"/>
      <c r="G11" s="28" t="s">
        <v>89</v>
      </c>
      <c r="H11" s="28"/>
      <c r="I11" s="30" t="n">
        <v>46266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46295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46267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46274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46281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46288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n">
        <f aca="false">IF(B19="","",ROW()-14)</f>
        <v>5</v>
      </c>
      <c r="B19" s="37" t="n">
        <f aca="false">IF(B18="","",IF(B18+7&gt;$M$2,"",B18+7))</f>
        <v>46295</v>
      </c>
      <c r="C19" s="38" t="s">
        <v>101</v>
      </c>
      <c r="D19" s="39" t="n">
        <f aca="false">IF(B19="","",הגדרות!$C$27)</f>
        <v>6</v>
      </c>
      <c r="E19" s="39"/>
      <c r="F19" s="40" t="n">
        <f aca="false">IF(B19="","",IF(M19=0,0,MIN(הגדרות!$C$28,MAX(D19,E19))))</f>
        <v>6</v>
      </c>
      <c r="G19" s="41" t="n">
        <f aca="false">IF(B19="","",M19*הגדרות!$C$25)</f>
        <v>1300</v>
      </c>
      <c r="H19" s="41" t="n">
        <f aca="false">IF(B19="","",M19*F19*הגדרות!$C$26)</f>
        <v>600</v>
      </c>
      <c r="I19" s="42" t="n">
        <f aca="false">IF(B19="","",G19+H19)</f>
        <v>1900</v>
      </c>
      <c r="J19" s="43"/>
      <c r="K19" s="44"/>
      <c r="M19" s="0" t="n">
        <f aca="false">IF(B19="","",IF(C19="התקיים",1,IF(C19="בוטל ללא התראה",הגדרות!$C$29,0)))</f>
        <v>1</v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30</v>
      </c>
      <c r="G20" s="47" t="n">
        <f aca="false">SUM(G15:G19)</f>
        <v>6500</v>
      </c>
      <c r="H20" s="47" t="n">
        <f aca="false">SUM(H15:H19)</f>
        <v>3000</v>
      </c>
      <c r="I20" s="47" t="n">
        <f aca="false">SUM(I15:I19)</f>
        <v>9500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(5 מפגשים)</v>
      </c>
      <c r="I23" s="50"/>
      <c r="J23" s="50"/>
      <c r="K23" s="41" t="n">
        <f aca="false">G20</f>
        <v>6500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(30 משתתפים)</v>
      </c>
      <c r="I24" s="50"/>
      <c r="J24" s="50"/>
      <c r="K24" s="41" t="n">
        <f aca="false">H20</f>
        <v>3000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9500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1710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11210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46296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אוקטובר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חוסן-2026-10</v>
      </c>
      <c r="D11" s="29"/>
      <c r="E11" s="29"/>
      <c r="G11" s="28" t="s">
        <v>89</v>
      </c>
      <c r="H11" s="28"/>
      <c r="I11" s="30" t="n">
        <v>46296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46326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46302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46309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46316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46323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46327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נובמבר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חוסן-2026-11</v>
      </c>
      <c r="D11" s="29"/>
      <c r="E11" s="29"/>
      <c r="G11" s="28" t="s">
        <v>89</v>
      </c>
      <c r="H11" s="28"/>
      <c r="I11" s="30" t="n">
        <v>46327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46356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46330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46337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46344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46351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46357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דצמבר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חוסן-2026-12</v>
      </c>
      <c r="D11" s="29"/>
      <c r="E11" s="29"/>
      <c r="G11" s="28" t="s">
        <v>89</v>
      </c>
      <c r="H11" s="28"/>
      <c r="I11" s="30" t="n">
        <v>46357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46387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46358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46365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46372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46379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n">
        <f aca="false">IF(B19="","",ROW()-14)</f>
        <v>5</v>
      </c>
      <c r="B19" s="37" t="n">
        <f aca="false">IF(B18="","",IF(B18+7&gt;$M$2,"",B18+7))</f>
        <v>46386</v>
      </c>
      <c r="C19" s="38" t="s">
        <v>101</v>
      </c>
      <c r="D19" s="39" t="n">
        <f aca="false">IF(B19="","",הגדרות!$C$27)</f>
        <v>6</v>
      </c>
      <c r="E19" s="39"/>
      <c r="F19" s="40" t="n">
        <f aca="false">IF(B19="","",IF(M19=0,0,MIN(הגדרות!$C$28,MAX(D19,E19))))</f>
        <v>6</v>
      </c>
      <c r="G19" s="41" t="n">
        <f aca="false">IF(B19="","",M19*הגדרות!$C$25)</f>
        <v>1300</v>
      </c>
      <c r="H19" s="41" t="n">
        <f aca="false">IF(B19="","",M19*F19*הגדרות!$C$26)</f>
        <v>600</v>
      </c>
      <c r="I19" s="42" t="n">
        <f aca="false">IF(B19="","",G19+H19)</f>
        <v>1900</v>
      </c>
      <c r="J19" s="43"/>
      <c r="K19" s="44"/>
      <c r="M19" s="0" t="n">
        <f aca="false">IF(B19="","",IF(C19="התקיים",1,IF(C19="בוטל ללא התראה",הגדרות!$C$29,0)))</f>
        <v>1</v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30</v>
      </c>
      <c r="G20" s="47" t="n">
        <f aca="false">SUM(G15:G19)</f>
        <v>6500</v>
      </c>
      <c r="H20" s="47" t="n">
        <f aca="false">SUM(H15:H19)</f>
        <v>3000</v>
      </c>
      <c r="I20" s="47" t="n">
        <f aca="false">SUM(I15:I19)</f>
        <v>9500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(5 מפגשים)</v>
      </c>
      <c r="I23" s="50"/>
      <c r="J23" s="50"/>
      <c r="K23" s="41" t="n">
        <f aca="false">G20</f>
        <v>6500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(30 משתתפים)</v>
      </c>
      <c r="I24" s="50"/>
      <c r="J24" s="50"/>
      <c r="K24" s="41" t="n">
        <f aca="false">H20</f>
        <v>3000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9500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1710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11210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46388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ינואר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חוסן-2027-01</v>
      </c>
      <c r="D11" s="29"/>
      <c r="E11" s="29"/>
      <c r="G11" s="28" t="s">
        <v>89</v>
      </c>
      <c r="H11" s="28"/>
      <c r="I11" s="30" t="n">
        <v>46388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46418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46393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46400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46407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46414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46419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פברואר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חוסן-2027-02</v>
      </c>
      <c r="D11" s="29"/>
      <c r="E11" s="29"/>
      <c r="G11" s="28" t="s">
        <v>89</v>
      </c>
      <c r="H11" s="28"/>
      <c r="I11" s="30" t="n">
        <v>46419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46446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46421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46428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46435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46442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46447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מרץ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חוסן-2027-03</v>
      </c>
      <c r="D11" s="29"/>
      <c r="E11" s="29"/>
      <c r="G11" s="28" t="s">
        <v>89</v>
      </c>
      <c r="H11" s="28"/>
      <c r="I11" s="30" t="n">
        <v>46447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46477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46449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46456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46463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46470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n">
        <f aca="false">IF(B19="","",ROW()-14)</f>
        <v>5</v>
      </c>
      <c r="B19" s="37" t="n">
        <f aca="false">IF(B18="","",IF(B18+7&gt;$M$2,"",B18+7))</f>
        <v>46477</v>
      </c>
      <c r="C19" s="38" t="s">
        <v>101</v>
      </c>
      <c r="D19" s="39" t="n">
        <f aca="false">IF(B19="","",הגדרות!$C$27)</f>
        <v>6</v>
      </c>
      <c r="E19" s="39"/>
      <c r="F19" s="40" t="n">
        <f aca="false">IF(B19="","",IF(M19=0,0,MIN(הגדרות!$C$28,MAX(D19,E19))))</f>
        <v>6</v>
      </c>
      <c r="G19" s="41" t="n">
        <f aca="false">IF(B19="","",M19*הגדרות!$C$25)</f>
        <v>1300</v>
      </c>
      <c r="H19" s="41" t="n">
        <f aca="false">IF(B19="","",M19*F19*הגדרות!$C$26)</f>
        <v>600</v>
      </c>
      <c r="I19" s="42" t="n">
        <f aca="false">IF(B19="","",G19+H19)</f>
        <v>1900</v>
      </c>
      <c r="J19" s="43"/>
      <c r="K19" s="44"/>
      <c r="M19" s="0" t="n">
        <f aca="false">IF(B19="","",IF(C19="התקיים",1,IF(C19="בוטל ללא התראה",הגדרות!$C$29,0)))</f>
        <v>1</v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30</v>
      </c>
      <c r="G20" s="47" t="n">
        <f aca="false">SUM(G15:G19)</f>
        <v>6500</v>
      </c>
      <c r="H20" s="47" t="n">
        <f aca="false">SUM(H15:H19)</f>
        <v>3000</v>
      </c>
      <c r="I20" s="47" t="n">
        <f aca="false">SUM(I15:I19)</f>
        <v>9500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(5 מפגשים)</v>
      </c>
      <c r="I23" s="50"/>
      <c r="J23" s="50"/>
      <c r="K23" s="41" t="n">
        <f aca="false">G20</f>
        <v>6500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(30 משתתפים)</v>
      </c>
      <c r="I24" s="50"/>
      <c r="J24" s="50"/>
      <c r="K24" s="41" t="n">
        <f aca="false">H20</f>
        <v>3000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9500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1710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11210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46478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אפריל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חוסן-2027-04</v>
      </c>
      <c r="D11" s="29"/>
      <c r="E11" s="29"/>
      <c r="G11" s="28" t="s">
        <v>89</v>
      </c>
      <c r="H11" s="28"/>
      <c r="I11" s="30" t="n">
        <v>46478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46507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46484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46491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46498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46505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46508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מאי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חוסן-2027-05</v>
      </c>
      <c r="D11" s="29"/>
      <c r="E11" s="29"/>
      <c r="G11" s="28" t="s">
        <v>89</v>
      </c>
      <c r="H11" s="28"/>
      <c r="I11" s="30" t="n">
        <v>46508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46538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46512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46519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46526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46533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46539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יוני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חוסן-2027-06</v>
      </c>
      <c r="D11" s="29"/>
      <c r="E11" s="29"/>
      <c r="G11" s="28" t="s">
        <v>89</v>
      </c>
      <c r="H11" s="28"/>
      <c r="I11" s="30" t="n">
        <v>46539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46568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46540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46547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46554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46561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n">
        <f aca="false">IF(B19="","",ROW()-14)</f>
        <v>5</v>
      </c>
      <c r="B19" s="37" t="n">
        <f aca="false">IF(B18="","",IF(B18+7&gt;$M$2,"",B18+7))</f>
        <v>46568</v>
      </c>
      <c r="C19" s="38" t="s">
        <v>101</v>
      </c>
      <c r="D19" s="39" t="n">
        <f aca="false">IF(B19="","",הגדרות!$C$27)</f>
        <v>6</v>
      </c>
      <c r="E19" s="39"/>
      <c r="F19" s="40" t="n">
        <f aca="false">IF(B19="","",IF(M19=0,0,MIN(הגדרות!$C$28,MAX(D19,E19))))</f>
        <v>6</v>
      </c>
      <c r="G19" s="41" t="n">
        <f aca="false">IF(B19="","",M19*הגדרות!$C$25)</f>
        <v>1300</v>
      </c>
      <c r="H19" s="41" t="n">
        <f aca="false">IF(B19="","",M19*F19*הגדרות!$C$26)</f>
        <v>600</v>
      </c>
      <c r="I19" s="42" t="n">
        <f aca="false">IF(B19="","",G19+H19)</f>
        <v>1900</v>
      </c>
      <c r="J19" s="43"/>
      <c r="K19" s="44"/>
      <c r="M19" s="0" t="n">
        <f aca="false">IF(B19="","",IF(C19="התקיים",1,IF(C19="בוטל ללא התראה",הגדרות!$C$29,0)))</f>
        <v>1</v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30</v>
      </c>
      <c r="G20" s="47" t="n">
        <f aca="false">SUM(G15:G19)</f>
        <v>6500</v>
      </c>
      <c r="H20" s="47" t="n">
        <f aca="false">SUM(H15:H19)</f>
        <v>3000</v>
      </c>
      <c r="I20" s="47" t="n">
        <f aca="false">SUM(I15:I19)</f>
        <v>9500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(5 מפגשים)</v>
      </c>
      <c r="I23" s="50"/>
      <c r="J23" s="50"/>
      <c r="K23" s="41" t="n">
        <f aca="false">G20</f>
        <v>6500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(30 משתתפים)</v>
      </c>
      <c r="I24" s="50"/>
      <c r="J24" s="50"/>
      <c r="K24" s="41" t="n">
        <f aca="false">H20</f>
        <v>3000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9500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1710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11210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46569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יולי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חוסן-2027-07</v>
      </c>
      <c r="D11" s="29"/>
      <c r="E11" s="29"/>
      <c r="G11" s="28" t="s">
        <v>89</v>
      </c>
      <c r="H11" s="28"/>
      <c r="I11" s="30" t="n">
        <v>46569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46599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46575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46582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46589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46596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46600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אוגוסט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חוסן-2027-08</v>
      </c>
      <c r="D11" s="29"/>
      <c r="E11" s="29"/>
      <c r="G11" s="28" t="s">
        <v>89</v>
      </c>
      <c r="H11" s="28"/>
      <c r="I11" s="30" t="n">
        <v>46600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46630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46603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46610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46617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46624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str">
        <f aca="false">IF(B19="","",ROW()-14)</f>
        <v/>
      </c>
      <c r="B19" s="37" t="str">
        <f aca="false">IF(B18="","",IF(B18+7&gt;$M$2,"",B18+7))</f>
        <v/>
      </c>
      <c r="C19" s="38" t="s">
        <v>101</v>
      </c>
      <c r="D19" s="39" t="str">
        <f aca="false">IF(B19="","",הגדרות!$C$27)</f>
        <v/>
      </c>
      <c r="E19" s="39"/>
      <c r="F19" s="40" t="str">
        <f aca="false">IF(B19="","",IF(M19=0,0,MIN(הגדרות!$C$28,MAX(D19,E19))))</f>
        <v/>
      </c>
      <c r="G19" s="41" t="str">
        <f aca="false">IF(B19="","",M19*הגדרות!$C$25)</f>
        <v/>
      </c>
      <c r="H19" s="41" t="str">
        <f aca="false">IF(B19="","",M19*F19*הגדרות!$C$26)</f>
        <v/>
      </c>
      <c r="I19" s="42" t="str">
        <f aca="false">IF(B19="","",G19+H19)</f>
        <v/>
      </c>
      <c r="J19" s="43"/>
      <c r="K19" s="44"/>
      <c r="M19" s="0" t="str">
        <f aca="false">IF(B19="","",IF(C19="התקיים",1,IF(C19="בוטל ללא התראה",הגדרות!$C$29,0)))</f>
        <v/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24</v>
      </c>
      <c r="G20" s="47" t="n">
        <f aca="false">SUM(G15:G19)</f>
        <v>5200</v>
      </c>
      <c r="H20" s="47" t="n">
        <f aca="false">SUM(H15:H19)</f>
        <v>2400</v>
      </c>
      <c r="I20" s="47" t="n">
        <f aca="false">SUM(I15:I19)</f>
        <v>7600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(4 מפגשים)</v>
      </c>
      <c r="I23" s="50"/>
      <c r="J23" s="50"/>
      <c r="K23" s="41" t="n">
        <f aca="false">G20</f>
        <v>5200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(24 משתתפים)</v>
      </c>
      <c r="I24" s="50"/>
      <c r="J24" s="50"/>
      <c r="K24" s="41" t="n">
        <f aca="false">H20</f>
        <v>2400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7600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1368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8968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6" min="4" style="0" width="8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2"/>
    <col collapsed="false" customWidth="true" hidden="true" outlineLevel="0" max="13" min="13" style="0" width="13"/>
  </cols>
  <sheetData>
    <row r="1" customFormat="false" ht="36" hidden="false" customHeight="true" outlineLevel="0" collapsed="false">
      <c r="A1" s="24" t="s">
        <v>84</v>
      </c>
      <c r="B1" s="24"/>
      <c r="C1" s="24"/>
      <c r="D1" s="24"/>
      <c r="E1" s="24"/>
      <c r="F1" s="24"/>
      <c r="G1" s="24"/>
      <c r="H1" s="24"/>
      <c r="I1" s="24"/>
      <c r="J1" s="24"/>
      <c r="K1" s="24"/>
      <c r="M1" s="25" t="n">
        <f aca="false">DATE(YEAR($I$11),MONTH($I$11),1)</f>
        <v>46631</v>
      </c>
    </row>
    <row r="2" customFormat="false" ht="24" hidden="false" customHeight="true" outlineLevel="0" collapsed="false">
      <c r="A2" s="26" t="str">
        <f aca="false">הגדרות!$C$17&amp;" · מפגש שבועי בימי "&amp;הגדרות!$C$19&amp;" ("&amp;הגדרות!$C$18&amp;") · "&amp;CHOOSE(MONTH($M$1),"ינואר","פברואר","מרץ","אפריל","מאי","יוני","יולי","אוגוסט","ספטמבר","אוקטובר","נובמבר","דצמבר")&amp;" "&amp;YEAR($M$1)</f>
        <v>תכנית חוסן · מפגש שבועי בימי רביעי (הוותיקה) · ספטמבר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M2" s="25" t="n">
        <f aca="false">EOMONTH($M$1,0)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85</v>
      </c>
      <c r="B4" s="27"/>
      <c r="C4" s="27"/>
      <c r="D4" s="27"/>
      <c r="E4" s="27"/>
      <c r="G4" s="27" t="s">
        <v>86</v>
      </c>
      <c r="H4" s="27"/>
      <c r="I4" s="27"/>
      <c r="J4" s="27"/>
      <c r="K4" s="27"/>
    </row>
    <row r="5" customFormat="false" ht="15" hidden="false" customHeight="false" outlineLevel="0" collapsed="false">
      <c r="A5" s="28" t="s">
        <v>30</v>
      </c>
      <c r="B5" s="28"/>
      <c r="C5" s="29" t="str">
        <f aca="false">הגדרות!$C$5</f>
        <v>הנגרייה</v>
      </c>
      <c r="D5" s="29"/>
      <c r="E5" s="29"/>
      <c r="G5" s="28" t="s">
        <v>46</v>
      </c>
      <c r="H5" s="28"/>
      <c r="I5" s="29" t="str">
        <f aca="false">הגדרות!$C$12</f>
        <v>חוות רום</v>
      </c>
      <c r="J5" s="29"/>
      <c r="K5" s="29"/>
    </row>
    <row r="6" customFormat="false" ht="15" hidden="false" customHeight="false" outlineLevel="0" collapsed="false">
      <c r="A6" s="28" t="s">
        <v>33</v>
      </c>
      <c r="B6" s="28"/>
      <c r="C6" s="29" t="str">
        <f aca="false">הגדרות!$C$6</f>
        <v>(למילוי)</v>
      </c>
      <c r="D6" s="29"/>
      <c r="E6" s="29"/>
      <c r="G6" s="28" t="s">
        <v>48</v>
      </c>
      <c r="H6" s="28"/>
      <c r="I6" s="29" t="str">
        <f aca="false">הגדרות!$C$13</f>
        <v>הר כמון</v>
      </c>
      <c r="J6" s="29"/>
      <c r="K6" s="29"/>
    </row>
    <row r="7" customFormat="false" ht="15" hidden="false" customHeight="false" outlineLevel="0" collapsed="false">
      <c r="A7" s="28" t="s">
        <v>87</v>
      </c>
      <c r="B7" s="28"/>
      <c r="C7" s="29" t="str">
        <f aca="false">הגדרות!$C$7</f>
        <v>(למילוי)</v>
      </c>
      <c r="D7" s="29"/>
      <c r="E7" s="29"/>
      <c r="G7" s="28" t="s">
        <v>50</v>
      </c>
      <c r="H7" s="28"/>
      <c r="I7" s="29" t="str">
        <f aca="false">הגדרות!$C$14</f>
        <v>(למילוי)</v>
      </c>
      <c r="J7" s="29"/>
      <c r="K7" s="29"/>
    </row>
    <row r="8" customFormat="false" ht="15" hidden="false" customHeight="false" outlineLevel="0" collapsed="false">
      <c r="A8" s="28" t="s">
        <v>38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40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88</v>
      </c>
      <c r="B11" s="28"/>
      <c r="C11" s="29" t="str">
        <f aca="false">"חוסן-"&amp;YEAR($M$1)&amp;"-"&amp;TEXT(MONTH($M$1),"00")</f>
        <v>חוסן-2027-09</v>
      </c>
      <c r="D11" s="29"/>
      <c r="E11" s="29"/>
      <c r="G11" s="28" t="s">
        <v>89</v>
      </c>
      <c r="H11" s="28"/>
      <c r="I11" s="30" t="n">
        <v>46631</v>
      </c>
      <c r="J11" s="30"/>
      <c r="K11" s="30"/>
    </row>
    <row r="12" customFormat="false" ht="15" hidden="false" customHeight="false" outlineLevel="0" collapsed="false">
      <c r="A12" s="28" t="s">
        <v>90</v>
      </c>
      <c r="B12" s="28"/>
      <c r="C12" s="31" t="n">
        <f aca="false">$M$2</f>
        <v>46660</v>
      </c>
      <c r="D12" s="31"/>
      <c r="E12" s="31"/>
      <c r="G12" s="28" t="s">
        <v>91</v>
      </c>
      <c r="H12" s="28"/>
      <c r="I12" s="29" t="str">
        <f aca="false">TEXT(הגדרות!$C$25,"#,##0")&amp;" ₪ למפגש + "&amp;TEXT(הגדרות!$C$26,"#,##0")&amp;" ₪ למשתתף"</f>
        <v>1,300 ₪ למפגש + 100 ₪ למשתתף</v>
      </c>
      <c r="J12" s="29"/>
      <c r="K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3" t="s">
        <v>92</v>
      </c>
      <c r="K13" s="33"/>
    </row>
    <row r="14" customFormat="false" ht="30" hidden="false" customHeight="true" outlineLevel="0" collapsed="false">
      <c r="A14" s="34" t="s">
        <v>93</v>
      </c>
      <c r="B14" s="34" t="s">
        <v>90</v>
      </c>
      <c r="C14" s="34" t="s">
        <v>94</v>
      </c>
      <c r="D14" s="34" t="s">
        <v>95</v>
      </c>
      <c r="E14" s="34" t="s">
        <v>96</v>
      </c>
      <c r="F14" s="34" t="s">
        <v>97</v>
      </c>
      <c r="G14" s="34" t="s">
        <v>98</v>
      </c>
      <c r="H14" s="34" t="s">
        <v>99</v>
      </c>
      <c r="I14" s="34" t="s">
        <v>100</v>
      </c>
      <c r="J14" s="35" t="s">
        <v>23</v>
      </c>
      <c r="K14" s="35" t="s">
        <v>24</v>
      </c>
    </row>
    <row r="15" customFormat="false" ht="21.75" hidden="false" customHeight="true" outlineLevel="0" collapsed="false">
      <c r="A15" s="36" t="n">
        <f aca="false">IF(B15="","",ROW()-14)</f>
        <v>1</v>
      </c>
      <c r="B15" s="37" t="n">
        <f aca="false">$M$1+MOD(הגדרות!$D$19-WEEKDAY($M$1),7)</f>
        <v>46631</v>
      </c>
      <c r="C15" s="38" t="s">
        <v>101</v>
      </c>
      <c r="D15" s="39" t="n">
        <f aca="false">IF(B15="","",הגדרות!$C$27)</f>
        <v>6</v>
      </c>
      <c r="E15" s="39"/>
      <c r="F15" s="40" t="n">
        <f aca="false">IF(B15="","",IF(M15=0,0,MIN(הגדרות!$C$28,MAX(D15,E15))))</f>
        <v>6</v>
      </c>
      <c r="G15" s="41" t="n">
        <f aca="false">IF(B15="","",M15*הגדרות!$C$25)</f>
        <v>1300</v>
      </c>
      <c r="H15" s="41" t="n">
        <f aca="false">IF(B15="","",M15*F15*הגדרות!$C$26)</f>
        <v>600</v>
      </c>
      <c r="I15" s="42" t="n">
        <f aca="false">IF(B15="","",G15+H15)</f>
        <v>1900</v>
      </c>
      <c r="J15" s="43"/>
      <c r="K15" s="44"/>
      <c r="M15" s="0" t="n">
        <f aca="false">IF(B15="","",IF(C15="התקיים",1,IF(C15="בוטל ללא התראה",הגדרות!$C$29,0)))</f>
        <v>1</v>
      </c>
    </row>
    <row r="16" customFormat="false" ht="21.75" hidden="false" customHeight="true" outlineLevel="0" collapsed="false">
      <c r="A16" s="36" t="n">
        <f aca="false">IF(B16="","",ROW()-14)</f>
        <v>2</v>
      </c>
      <c r="B16" s="37" t="n">
        <f aca="false">IF(B15="","",IF(B15+7&gt;$M$2,"",B15+7))</f>
        <v>46638</v>
      </c>
      <c r="C16" s="38" t="s">
        <v>101</v>
      </c>
      <c r="D16" s="39" t="n">
        <f aca="false">IF(B16="","",הגדרות!$C$27)</f>
        <v>6</v>
      </c>
      <c r="E16" s="39"/>
      <c r="F16" s="40" t="n">
        <f aca="false">IF(B16="","",IF(M16=0,0,MIN(הגדרות!$C$28,MAX(D16,E16))))</f>
        <v>6</v>
      </c>
      <c r="G16" s="41" t="n">
        <f aca="false">IF(B16="","",M16*הגדרות!$C$25)</f>
        <v>1300</v>
      </c>
      <c r="H16" s="41" t="n">
        <f aca="false">IF(B16="","",M16*F16*הגדרות!$C$26)</f>
        <v>600</v>
      </c>
      <c r="I16" s="42" t="n">
        <f aca="false">IF(B16="","",G16+H16)</f>
        <v>1900</v>
      </c>
      <c r="J16" s="43"/>
      <c r="K16" s="44"/>
      <c r="M16" s="0" t="n">
        <f aca="false">IF(B16="","",IF(C16="התקיים",1,IF(C16="בוטל ללא התראה",הגדרות!$C$29,0)))</f>
        <v>1</v>
      </c>
    </row>
    <row r="17" customFormat="false" ht="21.75" hidden="false" customHeight="true" outlineLevel="0" collapsed="false">
      <c r="A17" s="36" t="n">
        <f aca="false">IF(B17="","",ROW()-14)</f>
        <v>3</v>
      </c>
      <c r="B17" s="37" t="n">
        <f aca="false">IF(B16="","",IF(B16+7&gt;$M$2,"",B16+7))</f>
        <v>46645</v>
      </c>
      <c r="C17" s="38" t="s">
        <v>101</v>
      </c>
      <c r="D17" s="39" t="n">
        <f aca="false">IF(B17="","",הגדרות!$C$27)</f>
        <v>6</v>
      </c>
      <c r="E17" s="39"/>
      <c r="F17" s="40" t="n">
        <f aca="false">IF(B17="","",IF(M17=0,0,MIN(הגדרות!$C$28,MAX(D17,E17))))</f>
        <v>6</v>
      </c>
      <c r="G17" s="41" t="n">
        <f aca="false">IF(B17="","",M17*הגדרות!$C$25)</f>
        <v>1300</v>
      </c>
      <c r="H17" s="41" t="n">
        <f aca="false">IF(B17="","",M17*F17*הגדרות!$C$26)</f>
        <v>600</v>
      </c>
      <c r="I17" s="42" t="n">
        <f aca="false">IF(B17="","",G17+H17)</f>
        <v>1900</v>
      </c>
      <c r="J17" s="43"/>
      <c r="K17" s="44"/>
      <c r="M17" s="0" t="n">
        <f aca="false">IF(B17="","",IF(C17="התקיים",1,IF(C17="בוטל ללא התראה",הגדרות!$C$29,0)))</f>
        <v>1</v>
      </c>
    </row>
    <row r="18" customFormat="false" ht="21.75" hidden="false" customHeight="true" outlineLevel="0" collapsed="false">
      <c r="A18" s="36" t="n">
        <f aca="false">IF(B18="","",ROW()-14)</f>
        <v>4</v>
      </c>
      <c r="B18" s="37" t="n">
        <f aca="false">IF(B17="","",IF(B17+7&gt;$M$2,"",B17+7))</f>
        <v>46652</v>
      </c>
      <c r="C18" s="38" t="s">
        <v>101</v>
      </c>
      <c r="D18" s="39" t="n">
        <f aca="false">IF(B18="","",הגדרות!$C$27)</f>
        <v>6</v>
      </c>
      <c r="E18" s="39"/>
      <c r="F18" s="40" t="n">
        <f aca="false">IF(B18="","",IF(M18=0,0,MIN(הגדרות!$C$28,MAX(D18,E18))))</f>
        <v>6</v>
      </c>
      <c r="G18" s="41" t="n">
        <f aca="false">IF(B18="","",M18*הגדרות!$C$25)</f>
        <v>1300</v>
      </c>
      <c r="H18" s="41" t="n">
        <f aca="false">IF(B18="","",M18*F18*הגדרות!$C$26)</f>
        <v>600</v>
      </c>
      <c r="I18" s="42" t="n">
        <f aca="false">IF(B18="","",G18+H18)</f>
        <v>1900</v>
      </c>
      <c r="J18" s="43"/>
      <c r="K18" s="44"/>
      <c r="M18" s="0" t="n">
        <f aca="false">IF(B18="","",IF(C18="התקיים",1,IF(C18="בוטל ללא התראה",הגדרות!$C$29,0)))</f>
        <v>1</v>
      </c>
    </row>
    <row r="19" customFormat="false" ht="21.75" hidden="false" customHeight="true" outlineLevel="0" collapsed="false">
      <c r="A19" s="36" t="n">
        <f aca="false">IF(B19="","",ROW()-14)</f>
        <v>5</v>
      </c>
      <c r="B19" s="37" t="n">
        <f aca="false">IF(B18="","",IF(B18+7&gt;$M$2,"",B18+7))</f>
        <v>46659</v>
      </c>
      <c r="C19" s="38" t="s">
        <v>101</v>
      </c>
      <c r="D19" s="39" t="n">
        <f aca="false">IF(B19="","",הגדרות!$C$27)</f>
        <v>6</v>
      </c>
      <c r="E19" s="39"/>
      <c r="F19" s="40" t="n">
        <f aca="false">IF(B19="","",IF(M19=0,0,MIN(הגדרות!$C$28,MAX(D19,E19))))</f>
        <v>6</v>
      </c>
      <c r="G19" s="41" t="n">
        <f aca="false">IF(B19="","",M19*הגדרות!$C$25)</f>
        <v>1300</v>
      </c>
      <c r="H19" s="41" t="n">
        <f aca="false">IF(B19="","",M19*F19*הגדרות!$C$26)</f>
        <v>600</v>
      </c>
      <c r="I19" s="42" t="n">
        <f aca="false">IF(B19="","",G19+H19)</f>
        <v>1900</v>
      </c>
      <c r="J19" s="43"/>
      <c r="K19" s="44"/>
      <c r="M19" s="0" t="n">
        <f aca="false">IF(B19="","",IF(C19="התקיים",1,IF(C19="בוטל ללא התראה",הגדרות!$C$29,0)))</f>
        <v>1</v>
      </c>
    </row>
    <row r="20" customFormat="false" ht="21.75" hidden="false" customHeight="true" outlineLevel="0" collapsed="false">
      <c r="A20" s="45" t="s">
        <v>102</v>
      </c>
      <c r="B20" s="45"/>
      <c r="C20" s="45"/>
      <c r="D20" s="45"/>
      <c r="E20" s="45"/>
      <c r="F20" s="46" t="n">
        <f aca="false">SUM(F15:F19)</f>
        <v>30</v>
      </c>
      <c r="G20" s="47" t="n">
        <f aca="false">SUM(G15:G19)</f>
        <v>6500</v>
      </c>
      <c r="H20" s="47" t="n">
        <f aca="false">SUM(H15:H19)</f>
        <v>3000</v>
      </c>
      <c r="I20" s="47" t="n">
        <f aca="false">SUM(I15:I19)</f>
        <v>9500</v>
      </c>
      <c r="J20" s="45"/>
      <c r="K20" s="47" t="n">
        <f aca="false">SUM(K15:K19)</f>
        <v>0</v>
      </c>
    </row>
    <row r="21" customFormat="false" ht="25.5" hidden="false" customHeight="true" outlineLevel="0" collapsed="false">
      <c r="A21" s="48" t="s">
        <v>103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</row>
    <row r="23" customFormat="false" ht="19.5" hidden="false" customHeight="true" outlineLevel="0" collapsed="false">
      <c r="A23" s="49" t="s">
        <v>104</v>
      </c>
      <c r="B23" s="49"/>
      <c r="C23" s="49"/>
      <c r="D23" s="49"/>
      <c r="E23" s="49"/>
      <c r="F23" s="49"/>
      <c r="G23" s="49"/>
      <c r="H23" s="50" t="str">
        <f aca="false">"תשלום בסיסי ("&amp;COUNTIF(M15:M19,"&gt;0")&amp;" מפגשים)"</f>
        <v>תשלום בסיסי (5 מפגשים)</v>
      </c>
      <c r="I23" s="50"/>
      <c r="J23" s="50"/>
      <c r="K23" s="41" t="n">
        <f aca="false">G20</f>
        <v>6500</v>
      </c>
    </row>
    <row r="24" customFormat="false" ht="39.75" hidden="false" customHeight="true" outlineLevel="0" collapsed="false">
      <c r="A24" s="51" t="str">
        <f aca="false">"• תשלום בסיסי למפגש – "&amp;TEXT(הגדרות!$C$25,"#,##0")&amp;" ₪: "&amp;הגדרות!$C$20&amp;" שעות עבודה ("&amp;TEXT(הגדרות!$C$22,"#,##0")&amp;" ₪) – "&amp;הגדרות!$C$21&amp;"."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4" s="51"/>
      <c r="C24" s="51"/>
      <c r="D24" s="51"/>
      <c r="E24" s="51"/>
      <c r="F24" s="51"/>
      <c r="G24" s="51"/>
      <c r="H24" s="50" t="str">
        <f aca="false">"תקציב עץ ("&amp;F20&amp;" משתתפים)"</f>
        <v>תקציב עץ (30 משתתפים)</v>
      </c>
      <c r="I24" s="50"/>
      <c r="J24" s="50"/>
      <c r="K24" s="41" t="n">
        <f aca="false">H20</f>
        <v>3000</v>
      </c>
    </row>
    <row r="25" customFormat="false" ht="27.75" hidden="false" customHeight="true" outlineLevel="0" collapsed="false">
      <c r="A25" s="51" t="str">
        <f aca="false">"• עלות אחזקה "&amp;TEXT(הגדרות!$C$23,"#,##0")&amp;" ₪ (שכירות, חשמל, ביטוח) ובלאי ציוד "&amp;TEXT(הגדרות!$C$24,"#,##0")&amp;"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25" s="51"/>
      <c r="C25" s="51"/>
      <c r="D25" s="51"/>
      <c r="E25" s="51"/>
      <c r="F25" s="51"/>
      <c r="G25" s="51"/>
      <c r="H25" s="50" t="s">
        <v>105</v>
      </c>
      <c r="I25" s="50"/>
      <c r="J25" s="50"/>
      <c r="K25" s="41" t="n">
        <f aca="false">K20</f>
        <v>0</v>
      </c>
    </row>
    <row r="26" customFormat="false" ht="19.5" hidden="false" customHeight="true" outlineLevel="0" collapsed="false">
      <c r="A26" s="51" t="str">
        <f aca="false">"• תקציב עץ: "&amp;TEXT(הגדרות!$C$26,"#,##0")&amp;" ₪ למשתתף."</f>
        <v>• תקציב עץ: 100 ₪ למשתתף.</v>
      </c>
      <c r="B26" s="51"/>
      <c r="C26" s="51"/>
      <c r="D26" s="51"/>
      <c r="E26" s="51"/>
      <c r="F26" s="51"/>
      <c r="G26" s="51"/>
      <c r="H26" s="52" t="s">
        <v>106</v>
      </c>
      <c r="I26" s="52"/>
      <c r="J26" s="52"/>
      <c r="K26" s="42" t="n">
        <f aca="false">K23+K24+K25</f>
        <v>9500</v>
      </c>
    </row>
    <row r="27" customFormat="false" ht="19.5" hidden="false" customHeight="true" outlineLevel="0" collapsed="false">
      <c r="A27" s="51" t="str">
        <f aca="false">IF(הגדרות!$C$33="","","• "&amp;הגדרות!$C$33)</f>
        <v>• המחירים אינם כוללים מע״מ. מע״מ יתווסף כחוק.</v>
      </c>
      <c r="B27" s="51"/>
      <c r="C27" s="51"/>
      <c r="D27" s="51"/>
      <c r="E27" s="51"/>
      <c r="F27" s="51"/>
      <c r="G27" s="51"/>
      <c r="H27" s="50" t="str">
        <f aca="false">"מע״מ "&amp;ROUND(הגדרות!$C$30*100,1)&amp;"%"</f>
        <v>מע״מ 18%</v>
      </c>
      <c r="I27" s="50"/>
      <c r="J27" s="50"/>
      <c r="K27" s="41" t="n">
        <f aca="false">ROUND(K26*הגדרות!$C$30,2)</f>
        <v>1710</v>
      </c>
    </row>
    <row r="28" customFormat="false" ht="27.75" hidden="false" customHeight="true" outlineLevel="0" collapsed="false">
      <c r="A28" s="51" t="str">
        <f aca="false">IF(הגדרות!$C$34="","","• "&amp;הגדרות!$C$34)</f>
        <v>• פרויקטים גדולים ומיוחדים מתומחרים בנפרד לפי עלות החומרים, באישור החווה.</v>
      </c>
      <c r="B28" s="51"/>
      <c r="C28" s="51"/>
      <c r="D28" s="51"/>
      <c r="E28" s="51"/>
      <c r="F28" s="51"/>
      <c r="G28" s="51"/>
      <c r="H28" s="53" t="s">
        <v>107</v>
      </c>
      <c r="I28" s="53"/>
      <c r="J28" s="53"/>
      <c r="K28" s="54" t="n">
        <f aca="false">K26+K27</f>
        <v>11210</v>
      </c>
    </row>
    <row r="29" customFormat="false" ht="15" hidden="false" customHeight="false" outlineLevel="0" collapsed="false">
      <c r="A29" s="51" t="str">
        <f aca="false">IF(הגדרות!$C$35="","","• "&amp;הגדרות!$C$35)</f>
        <v/>
      </c>
      <c r="B29" s="51"/>
      <c r="C29" s="51"/>
      <c r="D29" s="51"/>
      <c r="E29" s="51"/>
      <c r="F29" s="51"/>
      <c r="G29" s="51"/>
    </row>
    <row r="30" customFormat="false" ht="15" hidden="false" customHeight="false" outlineLevel="0" collapsed="false">
      <c r="A30" s="49" t="s">
        <v>108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.75" hidden="false" customHeight="true" outlineLevel="0" collapsed="false">
      <c r="A31" s="51" t="str">
        <f aca="false">"• "&amp;הגדרות!$C$38</f>
        <v>• ביטול מלא של הסדנא: ביטול של עד 48 שעות לפני מועד הסדנא – ללא חיוב.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customFormat="false" ht="15.75" hidden="false" customHeight="true" outlineLevel="0" collapsed="false">
      <c r="A32" s="51" t="str">
        <f aca="false">"• "&amp;הגדרות!$C$39</f>
        <v>• מספר המשתתפים: הסדנא מתוכננת ומוכנה מראש בהתאם למספר המשתתפים שסוכם, עד 6 משתתפים.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customFormat="false" ht="15.75" hidden="false" customHeight="true" outlineLevel="0" collapsed="false">
      <c r="A33" s="51" t="str">
        <f aca="false">"• "&amp;הגדרות!$C$40</f>
        <v>• הפחתת מספר המשתתפים: יש לעדכן על שינוי במספר המשתתפים עד 24 שעות לפני הסדנא.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customFormat="false" ht="25.5" hidden="false" customHeight="true" outlineLevel="0" collapsed="false">
      <c r="A34" s="51" t="str">
        <f aca="false">"• "&amp;הגדרות!$C$41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7" customFormat="false" ht="15" hidden="false" customHeight="false" outlineLevel="0" collapsed="false">
      <c r="A37" s="55" t="str">
        <f aca="false">"בברכה, "&amp;הגדרות!$C$6</f>
        <v>בברכה, (למילוי)</v>
      </c>
      <c r="B37" s="55"/>
      <c r="C37" s="55"/>
      <c r="D37" s="55"/>
      <c r="E37" s="55"/>
      <c r="G37" s="55" t="s">
        <v>109</v>
      </c>
      <c r="H37" s="55"/>
      <c r="I37" s="55"/>
      <c r="J37" s="55"/>
      <c r="K37" s="55"/>
    </row>
  </sheetData>
  <mergeCells count="52">
    <mergeCell ref="A1:K1"/>
    <mergeCell ref="A2:K2"/>
    <mergeCell ref="A4:E4"/>
    <mergeCell ref="G4:K4"/>
    <mergeCell ref="A5:B5"/>
    <mergeCell ref="C5:E5"/>
    <mergeCell ref="G5:H5"/>
    <mergeCell ref="I5:K5"/>
    <mergeCell ref="A6:B6"/>
    <mergeCell ref="C6:E6"/>
    <mergeCell ref="G6:H6"/>
    <mergeCell ref="I6:K6"/>
    <mergeCell ref="A7:B7"/>
    <mergeCell ref="C7:E7"/>
    <mergeCell ref="G7:H7"/>
    <mergeCell ref="I7:K7"/>
    <mergeCell ref="A8:B8"/>
    <mergeCell ref="C8:E8"/>
    <mergeCell ref="A9:B9"/>
    <mergeCell ref="C9:E9"/>
    <mergeCell ref="A11:B11"/>
    <mergeCell ref="C11:E11"/>
    <mergeCell ref="G11:H11"/>
    <mergeCell ref="I11:K11"/>
    <mergeCell ref="A12:B12"/>
    <mergeCell ref="C12:E12"/>
    <mergeCell ref="G12:H12"/>
    <mergeCell ref="I12:K12"/>
    <mergeCell ref="A13:I13"/>
    <mergeCell ref="J13:K13"/>
    <mergeCell ref="A20:E20"/>
    <mergeCell ref="A21:K21"/>
    <mergeCell ref="A23:G23"/>
    <mergeCell ref="H23:J23"/>
    <mergeCell ref="A24:G24"/>
    <mergeCell ref="H24:J24"/>
    <mergeCell ref="A25:G25"/>
    <mergeCell ref="H25:J25"/>
    <mergeCell ref="A26:G26"/>
    <mergeCell ref="H26:J26"/>
    <mergeCell ref="A27:G27"/>
    <mergeCell ref="H27:J27"/>
    <mergeCell ref="A28:G28"/>
    <mergeCell ref="H28:J28"/>
    <mergeCell ref="A29:G29"/>
    <mergeCell ref="A30:K30"/>
    <mergeCell ref="A31:K31"/>
    <mergeCell ref="A32:K32"/>
    <mergeCell ref="A33:K33"/>
    <mergeCell ref="A34:K34"/>
    <mergeCell ref="A37:E37"/>
    <mergeCell ref="G37:K37"/>
  </mergeCells>
  <conditionalFormatting sqref="C15:C19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$C15="בוטל ללא התראה"</formula>
    </cfRule>
  </conditionalFormatting>
  <conditionalFormatting sqref="A15:I19">
    <cfRule type="expression" priority="4" aboveAverage="0" equalAverage="0" bottom="0" percent="0" rank="0" text="" dxfId="2">
      <formula>$C15="בוטל בהתראה"</formula>
    </cfRule>
  </conditionalFormatting>
  <dataValidations count="2">
    <dataValidation allowBlank="true" errorStyle="stop" operator="between" showDropDown="false" showErrorMessage="false" showInputMessage="false" sqref="C15:C19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D15:E19" type="whole">
      <formula1>1</formula1>
      <formula2>הגדרות!$C$28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2026-10-18T14:14:29Z</dcterms:created>
  <dc:creator>openpyxl</dc:creator>
  <dc:description/>
  <dc:language>en-US</dc:language>
  <cp:lastModifiedBy/>
  <dcterms:modified xsi:type="dcterms:W3CDTF">2026-10-18T14:14:29Z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