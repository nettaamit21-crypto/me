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drawings/vmlDrawing13.vml" ContentType="application/vnd.openxmlformats-officedocument.vmlDrawing"/>
  <Override PartName="/xl/drawings/vmlDrawing1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הוראות" sheetId="1" state="visible" r:id="rId3"/>
    <sheet name="הגדרות" sheetId="2" state="visible" r:id="rId4"/>
    <sheet name="ספטמבר 2026" sheetId="3" state="visible" r:id="rId5"/>
    <sheet name="אוקטובר 2026" sheetId="4" state="visible" r:id="rId6"/>
    <sheet name="נובמבר 2026" sheetId="5" state="visible" r:id="rId7"/>
    <sheet name="דצמבר 2026" sheetId="6" state="visible" r:id="rId8"/>
    <sheet name="ינואר 2027" sheetId="7" state="visible" r:id="rId9"/>
    <sheet name="פברואר 2027" sheetId="8" state="visible" r:id="rId10"/>
    <sheet name="מרץ 2027" sheetId="9" state="visible" r:id="rId11"/>
    <sheet name="אפריל 2027" sheetId="10" state="visible" r:id="rId12"/>
    <sheet name="מאי 2027" sheetId="11" state="visible" r:id="rId13"/>
    <sheet name="יוני 2027" sheetId="12" state="visible" r:id="rId14"/>
    <sheet name="יולי 2027" sheetId="13" state="visible" r:id="rId15"/>
    <sheet name="אוגוסט 2027" sheetId="14" state="visible" r:id="rId16"/>
    <sheet name="ספטמבר 2027" sheetId="15" state="visible" r:id="rId17"/>
  </sheets>
  <definedNames>
    <definedName function="false" hidden="false" localSheetId="13" name="_xlnm.Print_Area" vbProcedure="false">'אוגוסט 2027'!$A$1:$I$36</definedName>
    <definedName function="false" hidden="false" localSheetId="3" name="_xlnm.Print_Area" vbProcedure="false">'אוקטובר 2026'!$A$1:$I$36</definedName>
    <definedName function="false" hidden="false" localSheetId="9" name="_xlnm.Print_Area" vbProcedure="false">'אפריל 2027'!$A$1:$I$36</definedName>
    <definedName function="false" hidden="false" localSheetId="5" name="_xlnm.Print_Area" vbProcedure="false">'דצמבר 2026'!$A$1:$I$36</definedName>
    <definedName function="false" hidden="false" localSheetId="12" name="_xlnm.Print_Area" vbProcedure="false">'יולי 2027'!$A$1:$I$36</definedName>
    <definedName function="false" hidden="false" localSheetId="11" name="_xlnm.Print_Area" vbProcedure="false">'יוני 2027'!$A$1:$I$36</definedName>
    <definedName function="false" hidden="false" localSheetId="6" name="_xlnm.Print_Area" vbProcedure="false">'ינואר 2027'!$A$1:$I$36</definedName>
    <definedName function="false" hidden="false" localSheetId="10" name="_xlnm.Print_Area" vbProcedure="false">'מאי 2027'!$A$1:$I$36</definedName>
    <definedName function="false" hidden="false" localSheetId="8" name="_xlnm.Print_Area" vbProcedure="false">'מרץ 2027'!$A$1:$I$36</definedName>
    <definedName function="false" hidden="false" localSheetId="4" name="_xlnm.Print_Area" vbProcedure="false">'נובמבר 2026'!$A$1:$I$36</definedName>
    <definedName function="false" hidden="false" localSheetId="2" name="_xlnm.Print_Area" vbProcedure="false">'ספטמבר 2026'!$A$1:$I$36</definedName>
    <definedName function="false" hidden="false" localSheetId="14" name="_xlnm.Print_Area" vbProcedure="false">'ספטמבר 2027'!$A$1:$I$36</definedName>
    <definedName function="false" hidden="false" localSheetId="7" name="_xlnm.Print_Area" vbProcedure="false">'פברואר 2027'!$A$1:$I$36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FreeSans"/>
            <family val="2"/>
          </rPr>
          <t xml:space="preserve">נלקח מדף הנחיתה של הנגרייה. לשנות אם צריך</t>
        </r>
        <r>
          <rPr>
            <sz val="10"/>
            <rFont val="Arial"/>
            <family val="2"/>
          </rPr>
          <t xml:space="preserve">.</t>
        </r>
      </text>
    </comment>
    <comment ref="C23" authorId="0">
      <text>
        <r>
          <rPr>
            <sz val="10"/>
            <rFont val="FreeSans"/>
            <family val="2"/>
          </rPr>
          <t xml:space="preserve">ישיבת צוות אחת בחודש של שעה, לפי מה שסוכם עם החווה</t>
        </r>
        <r>
          <rPr>
            <sz val="10"/>
            <rFont val="Arial"/>
            <family val="2"/>
          </rPr>
          <t xml:space="preserve">.</t>
        </r>
      </text>
    </comment>
    <comment ref="C24" authorId="0">
      <text>
        <r>
          <rPr>
            <sz val="10"/>
            <rFont val="Arial"/>
            <family val="2"/>
          </rPr>
          <t xml:space="preserve">50 ₪ </t>
        </r>
        <r>
          <rPr>
            <sz val="10"/>
            <rFont val="FreeSans"/>
            <family val="2"/>
          </rPr>
          <t xml:space="preserve">לשעה, לא כולל מע״מ – לפי מה שסוכם עם החווה</t>
        </r>
        <r>
          <rPr>
            <sz val="10"/>
            <rFont val="Arial"/>
            <family val="2"/>
          </rPr>
          <t xml:space="preserve">.</t>
        </r>
      </text>
    </comment>
    <comment ref="C25" authorId="0">
      <text>
        <r>
          <rPr>
            <sz val="10"/>
            <rFont val="Arial"/>
            <family val="2"/>
          </rPr>
          <t xml:space="preserve">18% – </t>
        </r>
        <r>
          <rPr>
            <sz val="10"/>
            <rFont val="FreeSans"/>
            <family val="2"/>
          </rPr>
          <t xml:space="preserve">שיעור המע״מ בישראל החל מ־</t>
        </r>
        <r>
          <rPr>
            <sz val="10"/>
            <rFont val="Arial"/>
            <family val="2"/>
          </rPr>
          <t xml:space="preserve">1.1.2025. לעדכן כאן אם ישתנה.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sharedStrings.xml><?xml version="1.0" encoding="utf-8"?>
<sst xmlns="http://schemas.openxmlformats.org/spreadsheetml/2006/main" count="661" uniqueCount="96">
  <si>
    <t xml:space="preserve">איך משתמשים בקובץ</t>
  </si>
  <si>
    <t xml:space="preserve">חשוב – הגיליונות נעולים</t>
  </si>
  <si>
    <t xml:space="preserve">אפשר לכתוב רק בתאים הצבעוניים (צהוב בהגדרות, שמנת בהצעה). כל השאר – נוסחאות – נעול, כך שאי אפשר למחוק אותן בטעות. אם ממש צריך לשנות משהו אחר: סקירה ← ביטול הגנת גיליון (אין סיסמה).</t>
  </si>
  <si>
    <t xml:space="preserve">1. פעם אחת</t>
  </si>
  <si>
    <t xml:space="preserve">ממלאים את גיליון "הגדרות": שם מלא, מס׳ עוסק מורשה, טלפון ואיש קשר בחווה. תאים צהובים = למילוי. כל גיליונות החודשים מושכים את הפרטים משם.</t>
  </si>
  <si>
    <t xml:space="preserve">2. בסוף כל חודש</t>
  </si>
  <si>
    <t xml:space="preserve">פותחים את הגיליון של החודש (למשל "ספטמבר 2026"). התאריכים של ימי ראשון וחמישי בחודש מחושבים אוטומטית, וכך גם השעות והסכומים.</t>
  </si>
  <si>
    <t xml:space="preserve">3. ימים שלא התקיימו</t>
  </si>
  <si>
    <t xml:space="preserve">בעמודה "התקיים?" בוחרים "לא" (חג, מחלה, ביטול) – השורה תימחק בקו והשעות יתאפסו.</t>
  </si>
  <si>
    <t xml:space="preserve">תאריך שהשתנה</t>
  </si>
  <si>
    <t xml:space="preserve">מקלידים תאריך אחר מעל התאריך שבשורה, או מוחקים אותו (Delete) – השורה מתרוקנת ולא מחויבת. שאר התאריכים לא זזים.</t>
  </si>
  <si>
    <t xml:space="preserve">4. ישיבת צוות</t>
  </si>
  <si>
    <t xml:space="preserve">אפשר לרשום את תאריך הישיבה (לא חובה). אם לא הייתה ישיבה החודש – בוחרים "לא".</t>
  </si>
  <si>
    <t xml:space="preserve">5. פרויקטים פרטיים</t>
  </si>
  <si>
    <t xml:space="preserve">בשתי העמודות השמאליות ("פרויקט פרטי – תיאור" ו"פרויקט פרטי – סכום") רושמים כל פרויקט שהחווה הזמינה, בכל שורה פנויה. הסכום לפני מע״מ. הסכומים נכנסים לסיכום בנפרד מהשעות.</t>
  </si>
  <si>
    <t xml:space="preserve">6. שליחה</t>
  </si>
  <si>
    <t xml:space="preserve">קובץ ← שמירה בשם / ייצוא ← PDF, ושולחים לחווה. הגיליון מוגדר לעמוד A4 אחד.</t>
  </si>
  <si>
    <t xml:space="preserve">חודש חדש אחרי ספטמבר 2027</t>
  </si>
  <si>
    <t xml:space="preserve">לוחצים ימני על לשונית של חודש ← העבר או העתק ← יצירת עותק, ומשנים בעותק את התא "חודש השירות" לתאריך כלשהו בחודש החדש (למשל 1/10/2027).</t>
  </si>
  <si>
    <t xml:space="preserve">שינוי תעריף / שעות / ימים</t>
  </si>
  <si>
    <t xml:space="preserve">משנים בגיליון "הגדרות" – כל החודשים מתעדכנים.</t>
  </si>
  <si>
    <t xml:space="preserve">מקרא צבעים</t>
  </si>
  <si>
    <t xml:space="preserve">תא צהוב בגיליון "הגדרות" – למילוי פעם אחת</t>
  </si>
  <si>
    <t xml:space="preserve">תא ברקע שמנת בגיליון החודש – למילוי או לעריכה (חודש, תאריכים, התקיים?, פרויקטים)</t>
  </si>
  <si>
    <t xml:space="preserve">דוגמה לשורת פרויקט פרטי</t>
  </si>
  <si>
    <t xml:space="preserve">פרויקט פרטי – תיאור</t>
  </si>
  <si>
    <t xml:space="preserve">פרויקט פרטי – סכום (₪)</t>
  </si>
  <si>
    <t xml:space="preserve">ספסל עץ לכניסה לחווה</t>
  </si>
  <si>
    <t xml:space="preserve">הגדרות קבועות – ממלאים פעם אחת</t>
  </si>
  <si>
    <t xml:space="preserve">תאים צהובים = למילוי. כל גיליונות החודשים מושכים את הנתונים מכאן.</t>
  </si>
  <si>
    <t xml:space="preserve">פרטי העסק (הספק)</t>
  </si>
  <si>
    <t xml:space="preserve">רשימת ימים</t>
  </si>
  <si>
    <t xml:space="preserve">שם העסק</t>
  </si>
  <si>
    <t xml:space="preserve">הנגרייה</t>
  </si>
  <si>
    <t xml:space="preserve">ראשון</t>
  </si>
  <si>
    <t xml:space="preserve">שם מלא</t>
  </si>
  <si>
    <t xml:space="preserve">(למילוי)</t>
  </si>
  <si>
    <t xml:space="preserve">שני</t>
  </si>
  <si>
    <t xml:space="preserve">עוסק מורשה מס׳</t>
  </si>
  <si>
    <t xml:space="preserve">שלישי</t>
  </si>
  <si>
    <t xml:space="preserve">טלפון</t>
  </si>
  <si>
    <t xml:space="preserve">רביעי</t>
  </si>
  <si>
    <t xml:space="preserve">אימייל</t>
  </si>
  <si>
    <t xml:space="preserve">nettaamit21@gmail.com</t>
  </si>
  <si>
    <t xml:space="preserve">חמישי</t>
  </si>
  <si>
    <t xml:space="preserve">שישי</t>
  </si>
  <si>
    <t xml:space="preserve">פרטי הלקוח</t>
  </si>
  <si>
    <t xml:space="preserve">שבת</t>
  </si>
  <si>
    <t xml:space="preserve">שם הלקוח</t>
  </si>
  <si>
    <t xml:space="preserve">חוות רום</t>
  </si>
  <si>
    <t xml:space="preserve">כתובת</t>
  </si>
  <si>
    <t xml:space="preserve">הר כמון</t>
  </si>
  <si>
    <t xml:space="preserve">איש קשר</t>
  </si>
  <si>
    <t xml:space="preserve">שעות ותעריף</t>
  </si>
  <si>
    <t xml:space="preserve">תיאור השירות</t>
  </si>
  <si>
    <t xml:space="preserve">הדרכת שיקום</t>
  </si>
  <si>
    <t xml:space="preserve">מס׳ יום</t>
  </si>
  <si>
    <t xml:space="preserve">יום עבודה 1</t>
  </si>
  <si>
    <t xml:space="preserve">יום עבודה 2</t>
  </si>
  <si>
    <t xml:space="preserve">שעת התחלה</t>
  </si>
  <si>
    <t xml:space="preserve">שעת סיום</t>
  </si>
  <si>
    <t xml:space="preserve">שעות ליום (מחושב)</t>
  </si>
  <si>
    <t xml:space="preserve">ישיבת צוות – שעות בחודש</t>
  </si>
  <si>
    <t xml:space="preserve">תעריף לשעה (₪, לא כולל מע״מ)</t>
  </si>
  <si>
    <t xml:space="preserve">שיעור מע״מ</t>
  </si>
  <si>
    <t xml:space="preserve">הערות שיופיעו בתחתית ההצעה</t>
  </si>
  <si>
    <t xml:space="preserve">הערה 1</t>
  </si>
  <si>
    <t xml:space="preserve">התעריף השעתי אינו כולל מע״מ. מע״מ יתווסף כחוק.</t>
  </si>
  <si>
    <t xml:space="preserve">הערה 2</t>
  </si>
  <si>
    <t xml:space="preserve">פרויקטים פרטיים מתומחרים בנפרד, לפי הזמנת החווה.</t>
  </si>
  <si>
    <t xml:space="preserve">הערה 3 (למשל תנאי תשלום)</t>
  </si>
  <si>
    <t xml:space="preserve">הצעת מחיר</t>
  </si>
  <si>
    <t xml:space="preserve">מאת</t>
  </si>
  <si>
    <t xml:space="preserve">לכבוד</t>
  </si>
  <si>
    <t xml:space="preserve">עוסק מורשה</t>
  </si>
  <si>
    <t xml:space="preserve">מס׳ הצעה</t>
  </si>
  <si>
    <t xml:space="preserve">חודש השירות</t>
  </si>
  <si>
    <t xml:space="preserve">תאריך</t>
  </si>
  <si>
    <t xml:space="preserve">ימי עבודה</t>
  </si>
  <si>
    <t xml:space="preserve">הדרכת שיקום – לפי שעות</t>
  </si>
  <si>
    <t xml:space="preserve">פרויקטים פרטיים – תמחור נפרד</t>
  </si>
  <si>
    <t xml:space="preserve">#</t>
  </si>
  <si>
    <t xml:space="preserve">יום</t>
  </si>
  <si>
    <t xml:space="preserve">פירוט</t>
  </si>
  <si>
    <t xml:space="preserve">התקיים?</t>
  </si>
  <si>
    <t xml:space="preserve">שעות</t>
  </si>
  <si>
    <t xml:space="preserve">סכום (₪)</t>
  </si>
  <si>
    <t xml:space="preserve">כן</t>
  </si>
  <si>
    <t xml:space="preserve">ישיבת צוות חודשית</t>
  </si>
  <si>
    <t xml:space="preserve">סה״כ</t>
  </si>
  <si>
    <t xml:space="preserve">הערות</t>
  </si>
  <si>
    <t xml:space="preserve">סה״כ שעות</t>
  </si>
  <si>
    <t xml:space="preserve">פרויקטים פרטיים</t>
  </si>
  <si>
    <t xml:space="preserve">סה״כ לפני מע״מ</t>
  </si>
  <si>
    <t xml:space="preserve">סה״כ לתשלום (כולל מע״מ)</t>
  </si>
  <si>
    <t xml:space="preserve">חתימה: ____________________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</si>
</sst>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&quot; ₪&quot;"/>
    <numFmt numFmtId="166" formatCode="General"/>
    <numFmt numFmtId="167" formatCode="hh:mm"/>
    <numFmt numFmtId="168" formatCode="0.0"/>
    <numFmt numFmtId="169" formatCode="0%"/>
    <numFmt numFmtId="170" formatCode="dd/mm/yyyy"/>
    <numFmt numFmtId="171" formatCode="[$-40D]mmmm\ 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9A6535"/>
      <name val="Arial"/>
      <family val="0"/>
      <charset val="1"/>
    </font>
    <font>
      <b val="true"/>
      <sz val="11"/>
      <color rgb="FF2A1F17"/>
      <name val="Arial"/>
      <family val="0"/>
      <charset val="1"/>
    </font>
    <font>
      <sz val="11"/>
      <color rgb="FF2A1F17"/>
      <name val="Arial"/>
      <family val="0"/>
      <charset val="1"/>
    </font>
    <font>
      <b val="true"/>
      <sz val="12"/>
      <color rgb="FF9A653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A7F7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8A7F75"/>
      <name val="Arial"/>
      <family val="0"/>
      <charset val="1"/>
    </font>
    <font>
      <sz val="10"/>
      <color rgb="FF2A1F17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8A7F75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22"/>
      <color rgb="FF9A6535"/>
      <name val="Arial"/>
      <family val="0"/>
      <charset val="1"/>
    </font>
    <font>
      <sz val="13"/>
      <color rgb="FF2A1F17"/>
      <name val="Arial"/>
      <family val="0"/>
      <charset val="1"/>
    </font>
    <font>
      <b val="true"/>
      <sz val="11"/>
      <color rgb="FF9A6535"/>
      <name val="Arial"/>
      <family val="0"/>
      <charset val="1"/>
    </font>
    <font>
      <sz val="10"/>
      <color rgb="FF8A7F75"/>
      <name val="Arial"/>
      <family val="0"/>
      <charset val="1"/>
    </font>
    <font>
      <b val="true"/>
      <sz val="10"/>
      <color rgb="FF2A1F17"/>
      <name val="Arial"/>
      <family val="0"/>
      <charset val="1"/>
    </font>
    <font>
      <b val="true"/>
      <sz val="9"/>
      <color rgb="FF2A1F17"/>
      <name val="Arial"/>
      <family val="0"/>
      <charset val="1"/>
    </font>
    <font>
      <b val="true"/>
      <sz val="10"/>
      <color rgb="FF9A6535"/>
      <name val="Arial"/>
      <family val="0"/>
      <charset val="1"/>
    </font>
    <font>
      <sz val="9"/>
      <color rgb="FF2A1F17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3EDE3"/>
      </patternFill>
    </fill>
    <fill>
      <patternFill patternType="solid">
        <fgColor rgb="FFFBF6EC"/>
        <bgColor rgb="FFF3EDE3"/>
      </patternFill>
    </fill>
    <fill>
      <patternFill patternType="solid">
        <fgColor rgb="FF9A6535"/>
        <bgColor rgb="FF8A7F75"/>
      </patternFill>
    </fill>
    <fill>
      <patternFill patternType="solid">
        <fgColor rgb="FF2A1F17"/>
        <bgColor rgb="FF333333"/>
      </patternFill>
    </fill>
    <fill>
      <patternFill patternType="solid">
        <fgColor rgb="FFE6DAC6"/>
        <bgColor rgb="FFEAD9C0"/>
      </patternFill>
    </fill>
    <fill>
      <patternFill patternType="solid">
        <fgColor rgb="FFEAD9C0"/>
        <bgColor rgb="FFE6DAC6"/>
      </patternFill>
    </fill>
    <fill>
      <patternFill patternType="solid">
        <fgColor rgb="FFF3EDE3"/>
        <bgColor rgb="FFFBF6E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CFC3B0"/>
      </left>
      <right style="thin">
        <color rgb="FFCFC3B0"/>
      </right>
      <top style="thin">
        <color rgb="FFCFC3B0"/>
      </top>
      <bottom style="thin">
        <color rgb="FFCFC3B0"/>
      </bottom>
      <diagonal/>
    </border>
    <border diagonalUp="false" diagonalDown="false">
      <left/>
      <right/>
      <top/>
      <bottom style="thin">
        <color rgb="FFCFC3B0"/>
      </bottom>
      <diagonal/>
    </border>
    <border diagonalUp="false" diagonalDown="false">
      <left/>
      <right/>
      <top/>
      <bottom style="medium">
        <color rgb="FF9A6535"/>
      </bottom>
      <diagonal/>
    </border>
    <border diagonalUp="false" diagonalDown="false">
      <left/>
      <right/>
      <top style="thin">
        <color rgb="FF2A1F17"/>
      </top>
      <bottom style="thin">
        <color rgb="FF2A1F17"/>
      </bottom>
      <diagonal/>
    </border>
    <border diagonalUp="false" diagonalDown="false">
      <left/>
      <right/>
      <top style="medium">
        <color rgb="FF2A1F17"/>
      </top>
      <bottom style="medium">
        <color rgb="FF2A1F1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2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7" fontId="13" fillId="2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8" fontId="15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8" fontId="13" fillId="2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5" fontId="13" fillId="2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9" fontId="13" fillId="2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4" fontId="13" fillId="2" borderId="2" xfId="0" applyFont="true" applyBorder="true" applyAlignment="true" applyProtection="true">
      <alignment horizontal="right" vertical="center" textRotation="0" wrapText="true" indent="0" shrinkToFit="false" readingOrder="2"/>
      <protection locked="fals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71" fontId="22" fillId="3" borderId="0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70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3" fillId="7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12" fillId="3" borderId="2" xfId="0" applyFont="true" applyBorder="true" applyAlignment="true" applyProtection="true">
      <alignment horizontal="center" vertical="center" textRotation="0" wrapText="false" indent="0" shrinkToFit="false" readingOrder="2"/>
      <protection locked="false" hidden="false"/>
    </xf>
    <xf numFmtId="164" fontId="1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true">
      <alignment horizontal="center" vertical="center" textRotation="0" wrapText="false" indent="0" shrinkToFit="false" readingOrder="2"/>
      <protection locked="false" hidden="false"/>
    </xf>
    <xf numFmtId="168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5" fontId="12" fillId="3" borderId="2" xfId="0" applyFont="true" applyBorder="true" applyAlignment="true" applyProtection="true">
      <alignment horizontal="center" vertical="center" textRotation="0" wrapText="false" indent="0" shrinkToFit="false" readingOrder="2"/>
      <protection locked="false" hidden="false"/>
    </xf>
    <xf numFmtId="164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8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2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2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5" fillId="6" borderId="5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6" borderId="5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FFFFFF"/>
      </font>
      <fill>
        <patternFill>
          <bgColor rgb="FFFFFFFF"/>
        </patternFill>
      </fill>
    </dxf>
    <dxf>
      <font>
        <strike val="1"/>
        <color rgb="FFA0A0A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535"/>
      <rgbColor rgb="FF800080"/>
      <rgbColor rgb="FF008080"/>
      <rgbColor rgb="FFCFC3B0"/>
      <rgbColor rgb="FF8A7F75"/>
      <rgbColor rgb="FF9999FF"/>
      <rgbColor rgb="FF993366"/>
      <rgbColor rgb="FFFFF2CC"/>
      <rgbColor rgb="FFFBF6EC"/>
      <rgbColor rgb="FF660066"/>
      <rgbColor rgb="FFFF8080"/>
      <rgbColor rgb="FF0066CC"/>
      <rgbColor rgb="FFE6DA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DE3"/>
      <rgbColor rgb="FFFFFF99"/>
      <rgbColor rgb="FF99CCFF"/>
      <rgbColor rgb="FFFF99CC"/>
      <rgbColor rgb="FFCC99FF"/>
      <rgbColor rgb="FFEAD9C0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003366"/>
      <rgbColor rgb="FF339966"/>
      <rgbColor rgb="FF003300"/>
      <rgbColor rgb="FF2A1F17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2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70"/>
  </cols>
  <sheetData>
    <row r="1" customFormat="false" ht="19.7" hidden="false" customHeight="false" outlineLevel="0" collapsed="false">
      <c r="B1" s="1" t="s">
        <v>0</v>
      </c>
    </row>
    <row r="3" customFormat="false" ht="48" hidden="false" customHeight="true" outlineLevel="0" collapsed="false">
      <c r="B3" s="2" t="s">
        <v>1</v>
      </c>
      <c r="C3" s="3" t="s">
        <v>2</v>
      </c>
    </row>
    <row r="4" customFormat="false" ht="48" hidden="false" customHeight="true" outlineLevel="0" collapsed="false">
      <c r="B4" s="2" t="s">
        <v>3</v>
      </c>
      <c r="C4" s="3" t="s">
        <v>4</v>
      </c>
    </row>
    <row r="5" customFormat="false" ht="48" hidden="false" customHeight="true" outlineLevel="0" collapsed="false">
      <c r="B5" s="2" t="s">
        <v>5</v>
      </c>
      <c r="C5" s="3" t="s">
        <v>6</v>
      </c>
    </row>
    <row r="6" customFormat="false" ht="48" hidden="false" customHeight="true" outlineLevel="0" collapsed="false">
      <c r="B6" s="2" t="s">
        <v>7</v>
      </c>
      <c r="C6" s="3" t="s">
        <v>8</v>
      </c>
    </row>
    <row r="7" customFormat="false" ht="48" hidden="false" customHeight="true" outlineLevel="0" collapsed="false">
      <c r="B7" s="2" t="s">
        <v>9</v>
      </c>
      <c r="C7" s="3" t="s">
        <v>10</v>
      </c>
    </row>
    <row r="8" customFormat="false" ht="48" hidden="false" customHeight="true" outlineLevel="0" collapsed="false">
      <c r="B8" s="2" t="s">
        <v>11</v>
      </c>
      <c r="C8" s="3" t="s">
        <v>12</v>
      </c>
    </row>
    <row r="9" customFormat="false" ht="48" hidden="false" customHeight="true" outlineLevel="0" collapsed="false">
      <c r="B9" s="2" t="s">
        <v>13</v>
      </c>
      <c r="C9" s="3" t="s">
        <v>14</v>
      </c>
    </row>
    <row r="10" customFormat="false" ht="48" hidden="false" customHeight="true" outlineLevel="0" collapsed="false">
      <c r="B10" s="2" t="s">
        <v>15</v>
      </c>
      <c r="C10" s="3" t="s">
        <v>16</v>
      </c>
    </row>
    <row r="11" customFormat="false" ht="48" hidden="false" customHeight="true" outlineLevel="0" collapsed="false">
      <c r="B11" s="2" t="s">
        <v>17</v>
      </c>
      <c r="C11" s="3" t="s">
        <v>18</v>
      </c>
    </row>
    <row r="12" customFormat="false" ht="48" hidden="false" customHeight="true" outlineLevel="0" collapsed="false">
      <c r="B12" s="2" t="s">
        <v>19</v>
      </c>
      <c r="C12" s="3" t="s">
        <v>20</v>
      </c>
    </row>
    <row r="14" customFormat="false" ht="15" hidden="false" customHeight="false" outlineLevel="0" collapsed="false">
      <c r="B14" s="4" t="s">
        <v>21</v>
      </c>
    </row>
    <row r="15" customFormat="false" ht="15" hidden="false" customHeight="false" outlineLevel="0" collapsed="false">
      <c r="B15" s="5"/>
      <c r="C15" s="6" t="s">
        <v>22</v>
      </c>
    </row>
    <row r="16" customFormat="false" ht="31.5" hidden="false" customHeight="true" outlineLevel="0" collapsed="false">
      <c r="B16" s="7"/>
      <c r="C16" s="8" t="s">
        <v>23</v>
      </c>
    </row>
    <row r="18" customFormat="false" ht="15" hidden="false" customHeight="false" outlineLevel="0" collapsed="false">
      <c r="B18" s="4" t="s">
        <v>24</v>
      </c>
    </row>
    <row r="19" customFormat="false" ht="15" hidden="false" customHeight="false" outlineLevel="0" collapsed="false">
      <c r="B19" s="9" t="s">
        <v>25</v>
      </c>
      <c r="C19" s="9" t="s">
        <v>26</v>
      </c>
    </row>
    <row r="20" customFormat="false" ht="15" hidden="false" customHeight="false" outlineLevel="0" collapsed="false">
      <c r="B20" s="10" t="s">
        <v>27</v>
      </c>
      <c r="C20" s="11" t="n"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3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9"/>
    <col collapsed="false" customWidth="true" hidden="false" outlineLevel="0" max="5" min="5" style="0" width="4"/>
    <col collapsed="false" customWidth="true" hidden="false" outlineLevel="0" max="6" min="6" style="0" width="12"/>
  </cols>
  <sheetData>
    <row r="1" customFormat="false" ht="19.7" hidden="false" customHeight="false" outlineLevel="0" collapsed="false">
      <c r="B1" s="1" t="s">
        <v>28</v>
      </c>
    </row>
    <row r="2" customFormat="false" ht="15" hidden="false" customHeight="false" outlineLevel="0" collapsed="false">
      <c r="B2" s="12" t="s">
        <v>29</v>
      </c>
    </row>
    <row r="4" customFormat="false" ht="15" hidden="false" customHeight="false" outlineLevel="0" collapsed="false">
      <c r="B4" s="13" t="s">
        <v>30</v>
      </c>
      <c r="C4" s="14"/>
      <c r="F4" s="15" t="s">
        <v>31</v>
      </c>
    </row>
    <row r="5" customFormat="false" ht="15" hidden="false" customHeight="false" outlineLevel="0" collapsed="false">
      <c r="B5" s="16" t="s">
        <v>32</v>
      </c>
      <c r="C5" s="17" t="s">
        <v>33</v>
      </c>
      <c r="F5" s="18" t="s">
        <v>34</v>
      </c>
    </row>
    <row r="6" customFormat="false" ht="15" hidden="false" customHeight="false" outlineLevel="0" collapsed="false">
      <c r="B6" s="16" t="s">
        <v>35</v>
      </c>
      <c r="C6" s="17" t="s">
        <v>36</v>
      </c>
      <c r="F6" s="18" t="s">
        <v>37</v>
      </c>
    </row>
    <row r="7" customFormat="false" ht="15" hidden="false" customHeight="false" outlineLevel="0" collapsed="false">
      <c r="B7" s="16" t="s">
        <v>38</v>
      </c>
      <c r="C7" s="17" t="s">
        <v>36</v>
      </c>
      <c r="F7" s="18" t="s">
        <v>39</v>
      </c>
    </row>
    <row r="8" customFormat="false" ht="15" hidden="false" customHeight="false" outlineLevel="0" collapsed="false">
      <c r="B8" s="16" t="s">
        <v>40</v>
      </c>
      <c r="C8" s="17" t="s">
        <v>36</v>
      </c>
      <c r="F8" s="18" t="s">
        <v>41</v>
      </c>
    </row>
    <row r="9" customFormat="false" ht="15" hidden="false" customHeight="false" outlineLevel="0" collapsed="false">
      <c r="B9" s="16" t="s">
        <v>42</v>
      </c>
      <c r="C9" s="17" t="s">
        <v>43</v>
      </c>
      <c r="F9" s="18" t="s">
        <v>44</v>
      </c>
    </row>
    <row r="10" customFormat="false" ht="15" hidden="false" customHeight="false" outlineLevel="0" collapsed="false">
      <c r="F10" s="18" t="s">
        <v>45</v>
      </c>
    </row>
    <row r="11" customFormat="false" ht="15" hidden="false" customHeight="false" outlineLevel="0" collapsed="false">
      <c r="B11" s="13" t="s">
        <v>46</v>
      </c>
      <c r="C11" s="14"/>
      <c r="F11" s="18" t="s">
        <v>47</v>
      </c>
    </row>
    <row r="12" customFormat="false" ht="15" hidden="false" customHeight="false" outlineLevel="0" collapsed="false">
      <c r="B12" s="16" t="s">
        <v>48</v>
      </c>
      <c r="C12" s="17" t="s">
        <v>49</v>
      </c>
    </row>
    <row r="13" customFormat="false" ht="15" hidden="false" customHeight="false" outlineLevel="0" collapsed="false">
      <c r="B13" s="16" t="s">
        <v>50</v>
      </c>
      <c r="C13" s="17" t="s">
        <v>51</v>
      </c>
    </row>
    <row r="14" customFormat="false" ht="15" hidden="false" customHeight="false" outlineLevel="0" collapsed="false">
      <c r="B14" s="16" t="s">
        <v>52</v>
      </c>
      <c r="C14" s="17" t="s">
        <v>36</v>
      </c>
    </row>
    <row r="16" customFormat="false" ht="15" hidden="false" customHeight="false" outlineLevel="0" collapsed="false">
      <c r="B16" s="13" t="s">
        <v>53</v>
      </c>
      <c r="C16" s="14"/>
    </row>
    <row r="17" customFormat="false" ht="15" hidden="false" customHeight="false" outlineLevel="0" collapsed="false">
      <c r="B17" s="16" t="s">
        <v>54</v>
      </c>
      <c r="C17" s="17" t="s">
        <v>55</v>
      </c>
      <c r="D17" s="15" t="s">
        <v>56</v>
      </c>
    </row>
    <row r="18" customFormat="false" ht="15" hidden="false" customHeight="false" outlineLevel="0" collapsed="false">
      <c r="B18" s="16" t="s">
        <v>57</v>
      </c>
      <c r="C18" s="17" t="s">
        <v>34</v>
      </c>
      <c r="D18" s="19" t="n">
        <f aca="false">MATCH(C18,$F$5:$F$11,0)</f>
        <v>1</v>
      </c>
    </row>
    <row r="19" customFormat="false" ht="15" hidden="false" customHeight="false" outlineLevel="0" collapsed="false">
      <c r="B19" s="16" t="s">
        <v>58</v>
      </c>
      <c r="C19" s="17" t="s">
        <v>44</v>
      </c>
      <c r="D19" s="19" t="n">
        <f aca="false">MATCH(C19,$F$5:$F$11,0)</f>
        <v>5</v>
      </c>
    </row>
    <row r="20" customFormat="false" ht="15" hidden="false" customHeight="false" outlineLevel="0" collapsed="false">
      <c r="B20" s="16" t="s">
        <v>59</v>
      </c>
      <c r="C20" s="20" t="n">
        <v>0.375</v>
      </c>
    </row>
    <row r="21" customFormat="false" ht="15" hidden="false" customHeight="false" outlineLevel="0" collapsed="false">
      <c r="B21" s="16" t="s">
        <v>60</v>
      </c>
      <c r="C21" s="20" t="n">
        <v>0.520833333333333</v>
      </c>
    </row>
    <row r="22" customFormat="false" ht="15" hidden="false" customHeight="false" outlineLevel="0" collapsed="false">
      <c r="B22" s="16" t="s">
        <v>61</v>
      </c>
      <c r="C22" s="21" t="n">
        <f aca="false">(C21-C20)*24</f>
        <v>3.5</v>
      </c>
    </row>
    <row r="23" customFormat="false" ht="15" hidden="false" customHeight="false" outlineLevel="0" collapsed="false">
      <c r="B23" s="16" t="s">
        <v>62</v>
      </c>
      <c r="C23" s="22" t="n">
        <v>1</v>
      </c>
    </row>
    <row r="24" customFormat="false" ht="15" hidden="false" customHeight="false" outlineLevel="0" collapsed="false">
      <c r="B24" s="16" t="s">
        <v>63</v>
      </c>
      <c r="C24" s="23" t="n">
        <v>50</v>
      </c>
    </row>
    <row r="25" customFormat="false" ht="15" hidden="false" customHeight="false" outlineLevel="0" collapsed="false">
      <c r="B25" s="16" t="s">
        <v>64</v>
      </c>
      <c r="C25" s="24" t="n">
        <v>0.18</v>
      </c>
    </row>
    <row r="27" customFormat="false" ht="15" hidden="false" customHeight="false" outlineLevel="0" collapsed="false">
      <c r="B27" s="13" t="s">
        <v>65</v>
      </c>
      <c r="C27" s="14"/>
    </row>
    <row r="28" customFormat="false" ht="15" hidden="false" customHeight="false" outlineLevel="0" collapsed="false">
      <c r="B28" s="16" t="s">
        <v>66</v>
      </c>
      <c r="C28" s="25" t="s">
        <v>67</v>
      </c>
    </row>
    <row r="29" customFormat="false" ht="15" hidden="false" customHeight="false" outlineLevel="0" collapsed="false">
      <c r="B29" s="16" t="s">
        <v>68</v>
      </c>
      <c r="C29" s="25" t="s">
        <v>69</v>
      </c>
    </row>
    <row r="30" customFormat="false" ht="15" hidden="false" customHeight="false" outlineLevel="0" collapsed="false">
      <c r="B30" s="16" t="s">
        <v>70</v>
      </c>
      <c r="C30" s="25"/>
    </row>
  </sheetData>
  <sheetProtection sheet="true"/>
  <dataValidations count="1">
    <dataValidation allowBlank="false" errorStyle="stop" operator="between" showDropDown="false" showErrorMessage="false" showInputMessage="false" sqref="C18:C19" type="list">
      <formula1>$F$5:$F$11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46266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ספטמבר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46295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2026-09</v>
      </c>
      <c r="D11" s="31"/>
      <c r="F11" s="30" t="s">
        <v>76</v>
      </c>
      <c r="G11" s="30"/>
      <c r="H11" s="32" t="n">
        <v>46266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46295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46268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46268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46271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46271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46275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46275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46278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46278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46282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46282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46285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46285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46289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46289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46292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46292</v>
      </c>
    </row>
    <row r="23" customFormat="false" ht="19.5" hidden="false" customHeight="true" outlineLevel="0" collapsed="false">
      <c r="A23" s="38" t="str">
        <f aca="false">IF(B23="","",COUNT($B$15:B23))</f>
        <v/>
      </c>
      <c r="B23" s="39" t="str">
        <f aca="false">IF(K23="","",K23)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87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IF(K22="","",IF(K22+MIN(MOD(הגדרות!$D$18-WEEKDAY(K22)-1,7)+1,MOD(הגדרות!$D$19-WEEKDAY(K22)-1,7)+1)&gt;$K$2,"",K22+MIN(MOD(הגדרות!$D$18-WEEKDAY(K22)-1,7)+1,MOD(הגדרות!$D$19-WEEKDAY(K22)-1,7)+1)))</f>
        <v/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29</v>
      </c>
      <c r="G26" s="48" t="n">
        <f aca="false">SUM(G15:G25)</f>
        <v>1450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1450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1711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46296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אוקטובר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46326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2026-10</v>
      </c>
      <c r="D11" s="31"/>
      <c r="F11" s="30" t="s">
        <v>76</v>
      </c>
      <c r="G11" s="30"/>
      <c r="H11" s="32" t="n">
        <v>46296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46326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46296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46296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46299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46299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46303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46303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46306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46306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46310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46310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46313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46313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46317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46317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46320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46320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46324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46324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46327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נובמבר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46356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2026-11</v>
      </c>
      <c r="D11" s="31"/>
      <c r="F11" s="30" t="s">
        <v>76</v>
      </c>
      <c r="G11" s="30"/>
      <c r="H11" s="32" t="n">
        <v>46327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46356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46327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46327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46331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46331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46334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46334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46338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46338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46341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46341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46345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46345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46348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46348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46352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46352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46355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46355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46357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דצמבר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46387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2026-12</v>
      </c>
      <c r="D11" s="31"/>
      <c r="F11" s="30" t="s">
        <v>76</v>
      </c>
      <c r="G11" s="30"/>
      <c r="H11" s="32" t="n">
        <v>46357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46387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46359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46359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46362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46362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46366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46366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46369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46369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46373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46373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46376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46376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46380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46380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46383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46383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46387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46387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46388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ינואר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46418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2027-01</v>
      </c>
      <c r="D11" s="31"/>
      <c r="F11" s="30" t="s">
        <v>76</v>
      </c>
      <c r="G11" s="30"/>
      <c r="H11" s="32" t="n">
        <v>46388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46418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46390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46390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46394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46394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46397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46397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46401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46401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46404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46404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46408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46408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46411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46411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46415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46415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46418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46418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46419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פברואר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46446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2027-02</v>
      </c>
      <c r="D11" s="31"/>
      <c r="F11" s="30" t="s">
        <v>76</v>
      </c>
      <c r="G11" s="30"/>
      <c r="H11" s="32" t="n">
        <v>46419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46446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46422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46422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46425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46425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46429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46429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46432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46432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46436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46436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46439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46439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46443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46443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46446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46446</v>
      </c>
    </row>
    <row r="23" customFormat="false" ht="19.5" hidden="false" customHeight="true" outlineLevel="0" collapsed="false">
      <c r="A23" s="38" t="str">
        <f aca="false">IF(B23="","",COUNT($B$15:B23))</f>
        <v/>
      </c>
      <c r="B23" s="39" t="str">
        <f aca="false">IF(K23="","",K23)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87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IF(K22="","",IF(K22+MIN(MOD(הגדרות!$D$18-WEEKDAY(K22)-1,7)+1,MOD(הגדרות!$D$19-WEEKDAY(K22)-1,7)+1)&gt;$K$2,"",K22+MIN(MOD(הגדרות!$D$18-WEEKDAY(K22)-1,7)+1,MOD(הגדרות!$D$19-WEEKDAY(K22)-1,7)+1)))</f>
        <v/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29</v>
      </c>
      <c r="G26" s="48" t="n">
        <f aca="false">SUM(G15:G25)</f>
        <v>1450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1450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1711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46447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מרץ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46477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2027-03</v>
      </c>
      <c r="D11" s="31"/>
      <c r="F11" s="30" t="s">
        <v>76</v>
      </c>
      <c r="G11" s="30"/>
      <c r="H11" s="32" t="n">
        <v>46447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46477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46450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46450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46453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46453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46457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46457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46460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46460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46464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46464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46467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46467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46471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46471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46474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46474</v>
      </c>
    </row>
    <row r="23" customFormat="false" ht="19.5" hidden="false" customHeight="true" outlineLevel="0" collapsed="false">
      <c r="A23" s="38" t="str">
        <f aca="false">IF(B23="","",COUNT($B$15:B23))</f>
        <v/>
      </c>
      <c r="B23" s="39" t="str">
        <f aca="false">IF(K23="","",K23)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87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IF(K22="","",IF(K22+MIN(MOD(הגדרות!$D$18-WEEKDAY(K22)-1,7)+1,MOD(הגדרות!$D$19-WEEKDAY(K22)-1,7)+1)&gt;$K$2,"",K22+MIN(MOD(הגדרות!$D$18-WEEKDAY(K22)-1,7)+1,MOD(הגדרות!$D$19-WEEKDAY(K22)-1,7)+1)))</f>
        <v/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29</v>
      </c>
      <c r="G26" s="48" t="n">
        <f aca="false">SUM(G15:G25)</f>
        <v>1450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1450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1711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46478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אפריל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46507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2027-04</v>
      </c>
      <c r="D11" s="31"/>
      <c r="F11" s="30" t="s">
        <v>76</v>
      </c>
      <c r="G11" s="30"/>
      <c r="H11" s="32" t="n">
        <v>46478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46507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46478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46478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46481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46481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46485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46485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46488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46488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46492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46492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46495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46495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46499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46499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46502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46502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46506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46506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46508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מאי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46538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2027-05</v>
      </c>
      <c r="D11" s="31"/>
      <c r="F11" s="30" t="s">
        <v>76</v>
      </c>
      <c r="G11" s="30"/>
      <c r="H11" s="32" t="n">
        <v>46508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46538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46509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46509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46513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46513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46516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46516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46520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46520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46523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46523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46527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46527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46530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46530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46534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46534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46537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46537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46539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יוני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46568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2027-06</v>
      </c>
      <c r="D11" s="31"/>
      <c r="F11" s="30" t="s">
        <v>76</v>
      </c>
      <c r="G11" s="30"/>
      <c r="H11" s="32" t="n">
        <v>46539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46568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46541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46541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46544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46544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46548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46548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46551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46551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46555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46555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46558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46558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46562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46562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46565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46565</v>
      </c>
    </row>
    <row r="23" customFormat="false" ht="19.5" hidden="false" customHeight="true" outlineLevel="0" collapsed="false">
      <c r="A23" s="38" t="str">
        <f aca="false">IF(B23="","",COUNT($B$15:B23))</f>
        <v/>
      </c>
      <c r="B23" s="39" t="str">
        <f aca="false">IF(K23="","",K23)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87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IF(K22="","",IF(K22+MIN(MOD(הגדרות!$D$18-WEEKDAY(K22)-1,7)+1,MOD(הגדרות!$D$19-WEEKDAY(K22)-1,7)+1)&gt;$K$2,"",K22+MIN(MOD(הגדרות!$D$18-WEEKDAY(K22)-1,7)+1,MOD(הגדרות!$D$19-WEEKDAY(K22)-1,7)+1)))</f>
        <v/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29</v>
      </c>
      <c r="G26" s="48" t="n">
        <f aca="false">SUM(G15:G25)</f>
        <v>1450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1450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1711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46569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יולי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46599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2027-07</v>
      </c>
      <c r="D11" s="31"/>
      <c r="F11" s="30" t="s">
        <v>76</v>
      </c>
      <c r="G11" s="30"/>
      <c r="H11" s="32" t="n">
        <v>46569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46599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46569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46569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46572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46572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46576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46576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46579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46579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46583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46583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46586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46586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46590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46590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46593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46593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46597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46597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46600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אוגוסט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46630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2027-08</v>
      </c>
      <c r="D11" s="31"/>
      <c r="F11" s="30" t="s">
        <v>76</v>
      </c>
      <c r="G11" s="30"/>
      <c r="H11" s="32" t="n">
        <v>46600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46630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46600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46600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46604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46604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46607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46607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46611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46611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46614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46614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46618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46618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46621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46621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46625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46625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46628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46628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71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46631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ספטמבר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46660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72</v>
      </c>
      <c r="B4" s="29"/>
      <c r="C4" s="29"/>
      <c r="D4" s="29"/>
      <c r="F4" s="29" t="s">
        <v>73</v>
      </c>
      <c r="G4" s="29"/>
      <c r="H4" s="29"/>
      <c r="I4" s="29"/>
    </row>
    <row r="5" customFormat="false" ht="15" hidden="false" customHeight="false" outlineLevel="0" collapsed="false">
      <c r="A5" s="30" t="s">
        <v>32</v>
      </c>
      <c r="B5" s="30"/>
      <c r="C5" s="31" t="str">
        <f aca="false">הגדרות!$C$5</f>
        <v>הנגרייה</v>
      </c>
      <c r="D5" s="31"/>
      <c r="F5" s="30" t="s">
        <v>48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35</v>
      </c>
      <c r="B6" s="30"/>
      <c r="C6" s="31" t="str">
        <f aca="false">הגדרות!$C$6</f>
        <v>(למילוי)</v>
      </c>
      <c r="D6" s="31"/>
      <c r="F6" s="30" t="s">
        <v>50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74</v>
      </c>
      <c r="B7" s="30"/>
      <c r="C7" s="31" t="str">
        <f aca="false">הגדרות!$C$7</f>
        <v>(למילוי)</v>
      </c>
      <c r="D7" s="31"/>
      <c r="F7" s="30" t="s">
        <v>52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40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42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75</v>
      </c>
      <c r="B11" s="30"/>
      <c r="C11" s="31" t="str">
        <f aca="false">YEAR($K$1)&amp;"-"&amp;TEXT(MONTH($K$1),"00")</f>
        <v>2027-09</v>
      </c>
      <c r="D11" s="31"/>
      <c r="F11" s="30" t="s">
        <v>76</v>
      </c>
      <c r="G11" s="30"/>
      <c r="H11" s="32" t="n">
        <v>46631</v>
      </c>
      <c r="I11" s="32"/>
    </row>
    <row r="12" customFormat="false" ht="15" hidden="false" customHeight="false" outlineLevel="0" collapsed="false">
      <c r="A12" s="30" t="s">
        <v>77</v>
      </c>
      <c r="B12" s="30"/>
      <c r="C12" s="33" t="n">
        <f aca="false">$K$2</f>
        <v>46660</v>
      </c>
      <c r="D12" s="33"/>
      <c r="F12" s="30" t="s">
        <v>78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79</v>
      </c>
      <c r="B13" s="34"/>
      <c r="C13" s="34"/>
      <c r="D13" s="34"/>
      <c r="E13" s="34"/>
      <c r="F13" s="34"/>
      <c r="G13" s="34"/>
      <c r="H13" s="35" t="s">
        <v>80</v>
      </c>
      <c r="I13" s="35"/>
    </row>
    <row r="14" customFormat="false" ht="27.75" hidden="false" customHeight="true" outlineLevel="0" collapsed="false">
      <c r="A14" s="36" t="s">
        <v>81</v>
      </c>
      <c r="B14" s="36" t="s">
        <v>77</v>
      </c>
      <c r="C14" s="36" t="s">
        <v>82</v>
      </c>
      <c r="D14" s="36" t="s">
        <v>83</v>
      </c>
      <c r="E14" s="36" t="s">
        <v>84</v>
      </c>
      <c r="F14" s="36" t="s">
        <v>85</v>
      </c>
      <c r="G14" s="36" t="s">
        <v>86</v>
      </c>
      <c r="H14" s="37" t="s">
        <v>25</v>
      </c>
      <c r="I14" s="37" t="s">
        <v>26</v>
      </c>
    </row>
    <row r="15" customFormat="false" ht="19.5" hidden="false" customHeight="true" outlineLevel="0" collapsed="false">
      <c r="A15" s="38" t="n">
        <f aca="false">IF(B15="","",COUNT($B$15:B15))</f>
        <v>1</v>
      </c>
      <c r="B15" s="39" t="n">
        <f aca="false">IF(K15="","",K15)</f>
        <v>46632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87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$K$1+MIN(MOD(הגדרות!$D$18-WEEKDAY($K$1),7),MOD(הגדרות!$D$19-WEEKDAY($K$1),7))</f>
        <v>46632</v>
      </c>
    </row>
    <row r="16" customFormat="false" ht="19.5" hidden="false" customHeight="true" outlineLevel="0" collapsed="false">
      <c r="A16" s="38" t="n">
        <f aca="false">IF(B16="","",COUNT($B$15:B16))</f>
        <v>2</v>
      </c>
      <c r="B16" s="39" t="n">
        <f aca="false">IF(K16="","",K16)</f>
        <v>46635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87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IF(K15="","",IF(K15+MIN(MOD(הגדרות!$D$18-WEEKDAY(K15)-1,7)+1,MOD(הגדרות!$D$19-WEEKDAY(K15)-1,7)+1)&gt;$K$2,"",K15+MIN(MOD(הגדרות!$D$18-WEEKDAY(K15)-1,7)+1,MOD(הגדרות!$D$19-WEEKDAY(K15)-1,7)+1)))</f>
        <v>46635</v>
      </c>
    </row>
    <row r="17" customFormat="false" ht="19.5" hidden="false" customHeight="true" outlineLevel="0" collapsed="false">
      <c r="A17" s="38" t="n">
        <f aca="false">IF(B17="","",COUNT($B$15:B17))</f>
        <v>3</v>
      </c>
      <c r="B17" s="39" t="n">
        <f aca="false">IF(K17="","",K17)</f>
        <v>46639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87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IF(K16="","",IF(K16+MIN(MOD(הגדרות!$D$18-WEEKDAY(K16)-1,7)+1,MOD(הגדרות!$D$19-WEEKDAY(K16)-1,7)+1)&gt;$K$2,"",K16+MIN(MOD(הגדרות!$D$18-WEEKDAY(K16)-1,7)+1,MOD(הגדרות!$D$19-WEEKDAY(K16)-1,7)+1)))</f>
        <v>46639</v>
      </c>
    </row>
    <row r="18" customFormat="false" ht="19.5" hidden="false" customHeight="true" outlineLevel="0" collapsed="false">
      <c r="A18" s="38" t="n">
        <f aca="false">IF(B18="","",COUNT($B$15:B18))</f>
        <v>4</v>
      </c>
      <c r="B18" s="39" t="n">
        <f aca="false">IF(K18="","",K18)</f>
        <v>46642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87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IF(K17="","",IF(K17+MIN(MOD(הגדרות!$D$18-WEEKDAY(K17)-1,7)+1,MOD(הגדרות!$D$19-WEEKDAY(K17)-1,7)+1)&gt;$K$2,"",K17+MIN(MOD(הגדרות!$D$18-WEEKDAY(K17)-1,7)+1,MOD(הגדרות!$D$19-WEEKDAY(K17)-1,7)+1)))</f>
        <v>46642</v>
      </c>
    </row>
    <row r="19" customFormat="false" ht="19.5" hidden="false" customHeight="true" outlineLevel="0" collapsed="false">
      <c r="A19" s="38" t="n">
        <f aca="false">IF(B19="","",COUNT($B$15:B19))</f>
        <v>5</v>
      </c>
      <c r="B19" s="39" t="n">
        <f aca="false">IF(K19="","",K19)</f>
        <v>46646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87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IF(K18="","",IF(K18+MIN(MOD(הגדרות!$D$18-WEEKDAY(K18)-1,7)+1,MOD(הגדרות!$D$19-WEEKDAY(K18)-1,7)+1)&gt;$K$2,"",K18+MIN(MOD(הגדרות!$D$18-WEEKDAY(K18)-1,7)+1,MOD(הגדרות!$D$19-WEEKDAY(K18)-1,7)+1)))</f>
        <v>46646</v>
      </c>
    </row>
    <row r="20" customFormat="false" ht="19.5" hidden="false" customHeight="true" outlineLevel="0" collapsed="false">
      <c r="A20" s="38" t="n">
        <f aca="false">IF(B20="","",COUNT($B$15:B20))</f>
        <v>6</v>
      </c>
      <c r="B20" s="39" t="n">
        <f aca="false">IF(K20="","",K20)</f>
        <v>46649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87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IF(K19="","",IF(K19+MIN(MOD(הגדרות!$D$18-WEEKDAY(K19)-1,7)+1,MOD(הגדרות!$D$19-WEEKDAY(K19)-1,7)+1)&gt;$K$2,"",K19+MIN(MOD(הגדרות!$D$18-WEEKDAY(K19)-1,7)+1,MOD(הגדרות!$D$19-WEEKDAY(K19)-1,7)+1)))</f>
        <v>46649</v>
      </c>
    </row>
    <row r="21" customFormat="false" ht="19.5" hidden="false" customHeight="true" outlineLevel="0" collapsed="false">
      <c r="A21" s="38" t="n">
        <f aca="false">IF(B21="","",COUNT($B$15:B21))</f>
        <v>7</v>
      </c>
      <c r="B21" s="39" t="n">
        <f aca="false">IF(K21="","",K21)</f>
        <v>46653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87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IF(K20="","",IF(K20+MIN(MOD(הגדרות!$D$18-WEEKDAY(K20)-1,7)+1,MOD(הגדרות!$D$19-WEEKDAY(K20)-1,7)+1)&gt;$K$2,"",K20+MIN(MOD(הגדרות!$D$18-WEEKDAY(K20)-1,7)+1,MOD(הגדרות!$D$19-WEEKDAY(K20)-1,7)+1)))</f>
        <v>46653</v>
      </c>
    </row>
    <row r="22" customFormat="false" ht="19.5" hidden="false" customHeight="true" outlineLevel="0" collapsed="false">
      <c r="A22" s="38" t="n">
        <f aca="false">IF(B22="","",COUNT($B$15:B22))</f>
        <v>8</v>
      </c>
      <c r="B22" s="39" t="n">
        <f aca="false">IF(K22="","",K22)</f>
        <v>46656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87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IF(K21="","",IF(K21+MIN(MOD(הגדרות!$D$18-WEEKDAY(K21)-1,7)+1,MOD(הגדרות!$D$19-WEEKDAY(K21)-1,7)+1)&gt;$K$2,"",K21+MIN(MOD(הגדרות!$D$18-WEEKDAY(K21)-1,7)+1,MOD(הגדרות!$D$19-WEEKDAY(K21)-1,7)+1)))</f>
        <v>46656</v>
      </c>
    </row>
    <row r="23" customFormat="false" ht="19.5" hidden="false" customHeight="true" outlineLevel="0" collapsed="false">
      <c r="A23" s="38" t="n">
        <f aca="false">IF(B23="","",COUNT($B$15:B23))</f>
        <v>9</v>
      </c>
      <c r="B23" s="39" t="n">
        <f aca="false">IF(K23="","",K23)</f>
        <v>46660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87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IF(K22="","",IF(K22+MIN(MOD(הגדרות!$D$18-WEEKDAY(K22)-1,7)+1,MOD(הגדרות!$D$19-WEEKDAY(K22)-1,7)+1)&gt;$K$2,"",K22+MIN(MOD(הגדרות!$D$18-WEEKDAY(K22)-1,7)+1,MOD(הגדרות!$D$19-WEEKDAY(K22)-1,7)+1)))</f>
        <v>46660</v>
      </c>
    </row>
    <row r="24" customFormat="false" ht="19.5" hidden="false" customHeight="true" outlineLevel="0" collapsed="false">
      <c r="A24" s="38" t="str">
        <f aca="false">IF(B24="","",COUNT($B$15:B24))</f>
        <v/>
      </c>
      <c r="B24" s="39" t="str">
        <f aca="false">IF(K24="","",K24)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87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IF(K23="","",IF(K23+MIN(MOD(הגדרות!$D$18-WEEKDAY(K23)-1,7)+1,MOD(הגדרות!$D$19-WEEKDAY(K23)-1,7)+1)&gt;$K$2,"",K23+MIN(MOD(הגדרות!$D$18-WEEKDAY(K23)-1,7)+1,MOD(הגדרות!$D$19-WEEKDAY(K23)-1,7)+1)))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39"/>
      <c r="C25" s="38" t="str">
        <f aca="false">IF(B25="","",INDEX(הגדרות!$F$5:$F$11,WEEKDAY(B25)))</f>
        <v/>
      </c>
      <c r="D25" s="40" t="s">
        <v>88</v>
      </c>
      <c r="E25" s="41" t="s">
        <v>87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6" t="s">
        <v>89</v>
      </c>
      <c r="B26" s="46"/>
      <c r="C26" s="46"/>
      <c r="D26" s="46"/>
      <c r="E26" s="46"/>
      <c r="F26" s="47" t="n">
        <f aca="false">SUM(F15:F25)</f>
        <v>32.5</v>
      </c>
      <c r="G26" s="48" t="n">
        <f aca="false">SUM(G15:G25)</f>
        <v>1625</v>
      </c>
      <c r="H26" s="46"/>
      <c r="I26" s="48" t="n">
        <f aca="false">SUM(I15:I25)</f>
        <v>0</v>
      </c>
    </row>
    <row r="28" customFormat="false" ht="19.5" hidden="false" customHeight="true" outlineLevel="0" collapsed="false">
      <c r="A28" s="49" t="s">
        <v>90</v>
      </c>
      <c r="B28" s="49"/>
      <c r="C28" s="49"/>
      <c r="D28" s="49"/>
      <c r="F28" s="40" t="s">
        <v>91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0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0"/>
      <c r="C29" s="50"/>
      <c r="D29" s="50"/>
      <c r="E29" s="50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0" t="str">
        <f aca="false">IF(הגדרות!$C$28="","","• "&amp;הגדרות!$C$28)</f>
        <v>• התעריף השעתי אינו כולל מע״מ. מע״מ יתווסף כחוק.</v>
      </c>
      <c r="B30" s="50"/>
      <c r="C30" s="50"/>
      <c r="D30" s="50"/>
      <c r="E30" s="50"/>
      <c r="F30" s="40" t="s">
        <v>92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0" t="str">
        <f aca="false">IF(הגדרות!$C$29="","","• "&amp;הגדרות!$C$29)</f>
        <v>• פרויקטים פרטיים מתומחרים בנפרד, לפי הזמנת החווה.</v>
      </c>
      <c r="B31" s="50"/>
      <c r="C31" s="50"/>
      <c r="D31" s="50"/>
      <c r="E31" s="50"/>
      <c r="F31" s="51" t="s">
        <v>93</v>
      </c>
      <c r="G31" s="51"/>
      <c r="H31" s="51"/>
      <c r="I31" s="52" t="n">
        <f aca="false">I29+I30</f>
        <v>1625</v>
      </c>
    </row>
    <row r="32" customFormat="false" ht="19.5" hidden="false" customHeight="true" outlineLevel="0" collapsed="false">
      <c r="A32" s="50" t="str">
        <f aca="false">IF(הגדרות!$C$30="","","• "&amp;הגדרות!$C$30)</f>
        <v/>
      </c>
      <c r="B32" s="50"/>
      <c r="C32" s="50"/>
      <c r="D32" s="50"/>
      <c r="E32" s="50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3" t="s">
        <v>94</v>
      </c>
      <c r="G33" s="53"/>
      <c r="H33" s="53"/>
      <c r="I33" s="54" t="n">
        <f aca="false">I31+I32</f>
        <v>1917.5</v>
      </c>
    </row>
    <row r="36" customFormat="false" ht="15" hidden="false" customHeight="false" outlineLevel="0" collapsed="false">
      <c r="A36" s="55" t="str">
        <f aca="false">"בברכה, "&amp;הגדרות!$C$6</f>
        <v>בברכה, (למילוי)</v>
      </c>
      <c r="B36" s="55"/>
      <c r="C36" s="55"/>
      <c r="D36" s="55"/>
      <c r="F36" s="55" t="s">
        <v>95</v>
      </c>
      <c r="G36" s="55"/>
      <c r="H36" s="55"/>
      <c r="I36" s="55"/>
    </row>
  </sheetData>
  <sheetProtection sheet="true"/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2026-10-19T08:58:40Z</dcterms:created>
  <dc:creator>openpyxl</dc:creator>
  <dc:description/>
  <dc:language>en-US</dc:language>
  <cp:lastModifiedBy/>
  <dcterms:modified xsi:type="dcterms:W3CDTF">2026-10-19T08:58:40Z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