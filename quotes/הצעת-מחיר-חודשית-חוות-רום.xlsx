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5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drawings/vmlDrawing12.vml" ContentType="application/vnd.openxmlformats-officedocument.vmlDrawing"/>
  <Override PartName="/xl/drawings/vmlDrawing13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הוראות" sheetId="1" state="visible" r:id="rId3"/>
    <sheet name="הגדרות" sheetId="2" state="visible" r:id="rId4"/>
    <sheet name="אוקטובר 2026" sheetId="3" state="visible" r:id="rId5"/>
    <sheet name="נובמבר 2026" sheetId="4" state="visible" r:id="rId6"/>
    <sheet name="דצמבר 2026" sheetId="5" state="visible" r:id="rId7"/>
    <sheet name="ינואר 2027" sheetId="6" state="visible" r:id="rId8"/>
    <sheet name="פברואר 2027" sheetId="7" state="visible" r:id="rId9"/>
    <sheet name="מרץ 2027" sheetId="8" state="visible" r:id="rId10"/>
    <sheet name="אפריל 2027" sheetId="9" state="visible" r:id="rId11"/>
    <sheet name="מאי 2027" sheetId="10" state="visible" r:id="rId12"/>
    <sheet name="יוני 2027" sheetId="11" state="visible" r:id="rId13"/>
    <sheet name="יולי 2027" sheetId="12" state="visible" r:id="rId14"/>
    <sheet name="אוגוסט 2027" sheetId="13" state="visible" r:id="rId15"/>
    <sheet name="ספטמבר 2027" sheetId="14" state="visible" r:id="rId16"/>
  </sheets>
  <definedNames>
    <definedName function="false" hidden="false" localSheetId="12" name="_xlnm.Print_Area" vbProcedure="false">'אוגוסט 2027'!$A$1:$I$36</definedName>
    <definedName function="false" hidden="false" localSheetId="2" name="_xlnm.Print_Area" vbProcedure="false">'אוקטובר 2026'!$A$1:$I$36</definedName>
    <definedName function="false" hidden="false" localSheetId="8" name="_xlnm.Print_Area" vbProcedure="false">'אפריל 2027'!$A$1:$I$36</definedName>
    <definedName function="false" hidden="false" localSheetId="4" name="_xlnm.Print_Area" vbProcedure="false">'דצמבר 2026'!$A$1:$I$36</definedName>
    <definedName function="false" hidden="false" localSheetId="11" name="_xlnm.Print_Area" vbProcedure="false">'יולי 2027'!$A$1:$I$36</definedName>
    <definedName function="false" hidden="false" localSheetId="10" name="_xlnm.Print_Area" vbProcedure="false">'יוני 2027'!$A$1:$I$36</definedName>
    <definedName function="false" hidden="false" localSheetId="5" name="_xlnm.Print_Area" vbProcedure="false">'ינואר 2027'!$A$1:$I$36</definedName>
    <definedName function="false" hidden="false" localSheetId="9" name="_xlnm.Print_Area" vbProcedure="false">'מאי 2027'!$A$1:$I$36</definedName>
    <definedName function="false" hidden="false" localSheetId="7" name="_xlnm.Print_Area" vbProcedure="false">'מרץ 2027'!$A$1:$I$36</definedName>
    <definedName function="false" hidden="false" localSheetId="3" name="_xlnm.Print_Area" vbProcedure="false">'נובמבר 2026'!$A$1:$I$36</definedName>
    <definedName function="false" hidden="false" localSheetId="13" name="_xlnm.Print_Area" vbProcedure="false">'ספטמבר 2027'!$A$1:$I$36</definedName>
    <definedName function="false" hidden="false" localSheetId="6" name="_xlnm.Print_Area" vbProcedure="false">'פברואר 2027'!$A$1:$I$36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FreeSans"/>
            <family val="2"/>
          </rPr>
          <t xml:space="preserve">נלקח מדף הנחיתה של הנגרייה. לשנות אם צריך</t>
        </r>
        <r>
          <rPr>
            <sz val="10"/>
            <rFont val="Arial"/>
            <family val="2"/>
          </rPr>
          <t xml:space="preserve">.</t>
        </r>
      </text>
    </comment>
    <comment ref="C23" authorId="0">
      <text>
        <r>
          <rPr>
            <sz val="10"/>
            <rFont val="FreeSans"/>
            <family val="2"/>
          </rPr>
          <t xml:space="preserve">ישיבת צוות אחת בחודש של שעה, לפי מה שסוכם עם החווה</t>
        </r>
        <r>
          <rPr>
            <sz val="10"/>
            <rFont val="Arial"/>
            <family val="2"/>
          </rPr>
          <t xml:space="preserve">.</t>
        </r>
      </text>
    </comment>
    <comment ref="C24" authorId="0">
      <text>
        <r>
          <rPr>
            <sz val="10"/>
            <rFont val="Arial"/>
            <family val="2"/>
          </rPr>
          <t xml:space="preserve">50 ₪ </t>
        </r>
        <r>
          <rPr>
            <sz val="10"/>
            <rFont val="FreeSans"/>
            <family val="2"/>
          </rPr>
          <t xml:space="preserve">לשעה, לא כולל מע״מ – לפי מה שסוכם עם החווה</t>
        </r>
        <r>
          <rPr>
            <sz val="10"/>
            <rFont val="Arial"/>
            <family val="2"/>
          </rPr>
          <t xml:space="preserve">.</t>
        </r>
      </text>
    </comment>
    <comment ref="C25" authorId="0">
      <text>
        <r>
          <rPr>
            <sz val="10"/>
            <rFont val="Arial"/>
            <family val="2"/>
          </rPr>
          <t xml:space="preserve">18% – </t>
        </r>
        <r>
          <rPr>
            <sz val="10"/>
            <rFont val="FreeSans"/>
            <family val="2"/>
          </rPr>
          <t xml:space="preserve">שיעור המע״מ בישראל החל מ־</t>
        </r>
        <r>
          <rPr>
            <sz val="10"/>
            <rFont val="Arial"/>
            <family val="2"/>
          </rPr>
          <t xml:space="preserve">1.1.2025. לעדכן כאן אם ישתנה.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FreeSans"/>
            <family val="2"/>
          </rPr>
          <t xml:space="preserve">תאריך ישיבת הצוות – לא חובה</t>
        </r>
        <r>
          <rPr>
            <sz val="10"/>
            <rFont val="Arial"/>
            <family val="2"/>
          </rPr>
          <t xml:space="preserve">.</t>
        </r>
      </text>
    </comment>
    <comment ref="H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כל התאריכים בטבלה מתעדכנים לפיו.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FreeSans"/>
            <family val="2"/>
          </rPr>
          <t xml:space="preserve">תאריך ישיבת הצוות – לא חובה</t>
        </r>
        <r>
          <rPr>
            <sz val="10"/>
            <rFont val="Arial"/>
            <family val="2"/>
          </rPr>
          <t xml:space="preserve">.</t>
        </r>
      </text>
    </comment>
    <comment ref="H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כל התאריכים בטבלה מתעדכנים לפיו.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FreeSans"/>
            <family val="2"/>
          </rPr>
          <t xml:space="preserve">תאריך ישיבת הצוות – לא חובה</t>
        </r>
        <r>
          <rPr>
            <sz val="10"/>
            <rFont val="Arial"/>
            <family val="2"/>
          </rPr>
          <t xml:space="preserve">.</t>
        </r>
      </text>
    </comment>
    <comment ref="H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כל התאריכים בטבלה מתעדכנים לפיו.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FreeSans"/>
            <family val="2"/>
          </rPr>
          <t xml:space="preserve">תאריך ישיבת הצוות – לא חובה</t>
        </r>
        <r>
          <rPr>
            <sz val="10"/>
            <rFont val="Arial"/>
            <family val="2"/>
          </rPr>
          <t xml:space="preserve">.</t>
        </r>
      </text>
    </comment>
    <comment ref="H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כל התאריכים בטבלה מתעדכנים לפיו.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FreeSans"/>
            <family val="2"/>
          </rPr>
          <t xml:space="preserve">תאריך ישיבת הצוות – לא חובה</t>
        </r>
        <r>
          <rPr>
            <sz val="10"/>
            <rFont val="Arial"/>
            <family val="2"/>
          </rPr>
          <t xml:space="preserve">.</t>
        </r>
      </text>
    </comment>
    <comment ref="H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כל התאריכים בטבלה מתעדכנים לפיו.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FreeSans"/>
            <family val="2"/>
          </rPr>
          <t xml:space="preserve">תאריך ישיבת הצוות – לא חובה</t>
        </r>
        <r>
          <rPr>
            <sz val="10"/>
            <rFont val="Arial"/>
            <family val="2"/>
          </rPr>
          <t xml:space="preserve">.</t>
        </r>
      </text>
    </comment>
    <comment ref="H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כל התאריכים בטבלה מתעדכנים לפיו.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FreeSans"/>
            <family val="2"/>
          </rPr>
          <t xml:space="preserve">תאריך ישיבת הצוות – לא חובה</t>
        </r>
        <r>
          <rPr>
            <sz val="10"/>
            <rFont val="Arial"/>
            <family val="2"/>
          </rPr>
          <t xml:space="preserve">.</t>
        </r>
      </text>
    </comment>
    <comment ref="H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כל התאריכים בטבלה מתעדכנים לפיו.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FreeSans"/>
            <family val="2"/>
          </rPr>
          <t xml:space="preserve">תאריך ישיבת הצוות – לא חובה</t>
        </r>
        <r>
          <rPr>
            <sz val="10"/>
            <rFont val="Arial"/>
            <family val="2"/>
          </rPr>
          <t xml:space="preserve">.</t>
        </r>
      </text>
    </comment>
    <comment ref="H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כל התאריכים בטבלה מתעדכנים לפיו.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FreeSans"/>
            <family val="2"/>
          </rPr>
          <t xml:space="preserve">תאריך ישיבת הצוות – לא חובה</t>
        </r>
        <r>
          <rPr>
            <sz val="10"/>
            <rFont val="Arial"/>
            <family val="2"/>
          </rPr>
          <t xml:space="preserve">.</t>
        </r>
      </text>
    </comment>
    <comment ref="H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כל התאריכים בטבלה מתעדכנים לפיו.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FreeSans"/>
            <family val="2"/>
          </rPr>
          <t xml:space="preserve">תאריך ישיבת הצוות – לא חובה</t>
        </r>
        <r>
          <rPr>
            <sz val="10"/>
            <rFont val="Arial"/>
            <family val="2"/>
          </rPr>
          <t xml:space="preserve">.</t>
        </r>
      </text>
    </comment>
    <comment ref="H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כל התאריכים בטבלה מתעדכנים לפיו.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FreeSans"/>
            <family val="2"/>
          </rPr>
          <t xml:space="preserve">תאריך ישיבת הצוות – לא חובה</t>
        </r>
        <r>
          <rPr>
            <sz val="10"/>
            <rFont val="Arial"/>
            <family val="2"/>
          </rPr>
          <t xml:space="preserve">.</t>
        </r>
      </text>
    </comment>
    <comment ref="H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כל התאריכים בטבלה מתעדכנים לפיו.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FreeSans"/>
            <family val="2"/>
          </rPr>
          <t xml:space="preserve">תאריך ישיבת הצוות – לא חובה</t>
        </r>
        <r>
          <rPr>
            <sz val="10"/>
            <rFont val="Arial"/>
            <family val="2"/>
          </rPr>
          <t xml:space="preserve">.</t>
        </r>
      </text>
    </comment>
    <comment ref="H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כל התאריכים בטבלה מתעדכנים לפיו.</t>
        </r>
      </text>
    </comment>
  </commentList>
</comments>
</file>

<file path=xl/sharedStrings.xml><?xml version="1.0" encoding="utf-8"?>
<sst xmlns="http://schemas.openxmlformats.org/spreadsheetml/2006/main" count="612" uniqueCount="92">
  <si>
    <t xml:space="preserve">איך משתמשים בקובץ</t>
  </si>
  <si>
    <t xml:space="preserve">1. פעם אחת</t>
  </si>
  <si>
    <t xml:space="preserve">ממלאים את גיליון "הגדרות": שם מלא, מס׳ עוסק מורשה, טלפון ואיש קשר בחווה. תאים צהובים = למילוי. כל גיליונות החודשים מושכים את הפרטים משם.</t>
  </si>
  <si>
    <t xml:space="preserve">2. בסוף כל חודש</t>
  </si>
  <si>
    <t xml:space="preserve">פותחים את הגיליון של החודש (למשל "אוקטובר 2026"). התאריכים של ימי ראשון וחמישי בחודש מחושבים אוטומטית, וכך גם השעות והסכומים.</t>
  </si>
  <si>
    <t xml:space="preserve">3. ימים שלא התקיימו</t>
  </si>
  <si>
    <t xml:space="preserve">בעמודה "התקיים?" בוחרים "לא" (חג, מחלה, ביטול) – השורה תימחק בקו והשעות יתאפסו.</t>
  </si>
  <si>
    <t xml:space="preserve">4. ישיבת צוות</t>
  </si>
  <si>
    <t xml:space="preserve">אפשר לרשום את תאריך הישיבה (לא חובה). אם לא הייתה ישיבה החודש – בוחרים "לא".</t>
  </si>
  <si>
    <t xml:space="preserve">5. פרויקטים פרטיים</t>
  </si>
  <si>
    <t xml:space="preserve">בשתי העמודות השמאליות ("פרויקט פרטי – תיאור" ו"פרויקט פרטי – סכום") רושמים כל פרויקט שהחווה הזמינה, בכל שורה פנויה. הסכום לפני מע״מ. הסכומים נכנסים לסיכום בנפרד מהשעות.</t>
  </si>
  <si>
    <t xml:space="preserve">6. שליחה</t>
  </si>
  <si>
    <t xml:space="preserve">קובץ ← שמירה בשם / ייצוא ← PDF, ושולחים לחווה. הגיליון מוגדר לעמוד A4 אחד.</t>
  </si>
  <si>
    <t xml:space="preserve">חודש חדש אחרי ספטמבר 2027</t>
  </si>
  <si>
    <t xml:space="preserve">לוחצים ימני על לשונית של חודש ← העבר או העתק ← יצירת עותק, ומשנים בעותק את התא "חודש השירות" לתאריך כלשהו בחודש החדש (למשל 1/10/2027).</t>
  </si>
  <si>
    <t xml:space="preserve">שינוי תעריף / שעות / ימים</t>
  </si>
  <si>
    <t xml:space="preserve">משנים בגיליון "הגדרות" – כל החודשים מתעדכנים.</t>
  </si>
  <si>
    <t xml:space="preserve">מקרא צבעים</t>
  </si>
  <si>
    <t xml:space="preserve">תא צהוב בגיליון "הגדרות" – למילוי פעם אחת</t>
  </si>
  <si>
    <t xml:space="preserve">תא ברקע שמנת בגיליון החודש – למילוי חודשי (חודש, ישיבת צוות, התקיים?, פרויקטים)</t>
  </si>
  <si>
    <t xml:space="preserve">דוגמה לשורת פרויקט פרטי</t>
  </si>
  <si>
    <t xml:space="preserve">פרויקט פרטי – תיאור</t>
  </si>
  <si>
    <t xml:space="preserve">פרויקט פרטי – סכום (₪)</t>
  </si>
  <si>
    <t xml:space="preserve">ספסל עץ לכניסה לחווה</t>
  </si>
  <si>
    <t xml:space="preserve">הגדרות קבועות – ממלאים פעם אחת</t>
  </si>
  <si>
    <t xml:space="preserve">תאים צהובים = למילוי. כל גיליונות החודשים מושכים את הנתונים מכאן.</t>
  </si>
  <si>
    <t xml:space="preserve">פרטי העסק (הספק)</t>
  </si>
  <si>
    <t xml:space="preserve">רשימת ימים</t>
  </si>
  <si>
    <t xml:space="preserve">שם העסק</t>
  </si>
  <si>
    <t xml:space="preserve">הנגרייה</t>
  </si>
  <si>
    <t xml:space="preserve">ראשון</t>
  </si>
  <si>
    <t xml:space="preserve">שם מלא</t>
  </si>
  <si>
    <t xml:space="preserve">(למילוי)</t>
  </si>
  <si>
    <t xml:space="preserve">שני</t>
  </si>
  <si>
    <t xml:space="preserve">עוסק מורשה מס׳</t>
  </si>
  <si>
    <t xml:space="preserve">שלישי</t>
  </si>
  <si>
    <t xml:space="preserve">טלפון</t>
  </si>
  <si>
    <t xml:space="preserve">רביעי</t>
  </si>
  <si>
    <t xml:space="preserve">אימייל</t>
  </si>
  <si>
    <t xml:space="preserve">nettaamit21@gmail.com</t>
  </si>
  <si>
    <t xml:space="preserve">חמישי</t>
  </si>
  <si>
    <t xml:space="preserve">שישי</t>
  </si>
  <si>
    <t xml:space="preserve">פרטי הלקוח</t>
  </si>
  <si>
    <t xml:space="preserve">שבת</t>
  </si>
  <si>
    <t xml:space="preserve">שם הלקוח</t>
  </si>
  <si>
    <t xml:space="preserve">חוות רום</t>
  </si>
  <si>
    <t xml:space="preserve">כתובת</t>
  </si>
  <si>
    <t xml:space="preserve">הר כמון</t>
  </si>
  <si>
    <t xml:space="preserve">איש קשר</t>
  </si>
  <si>
    <t xml:space="preserve">שעות ותעריף</t>
  </si>
  <si>
    <t xml:space="preserve">תיאור השירות</t>
  </si>
  <si>
    <t xml:space="preserve">הדרכת שיקום</t>
  </si>
  <si>
    <t xml:space="preserve">מס׳ יום</t>
  </si>
  <si>
    <t xml:space="preserve">יום עבודה 1</t>
  </si>
  <si>
    <t xml:space="preserve">יום עבודה 2</t>
  </si>
  <si>
    <t xml:space="preserve">שעת התחלה</t>
  </si>
  <si>
    <t xml:space="preserve">שעת סיום</t>
  </si>
  <si>
    <t xml:space="preserve">שעות ליום (מחושב)</t>
  </si>
  <si>
    <t xml:space="preserve">ישיבת צוות – שעות בחודש</t>
  </si>
  <si>
    <t xml:space="preserve">תעריף לשעה (₪, לא כולל מע״מ)</t>
  </si>
  <si>
    <t xml:space="preserve">שיעור מע״מ</t>
  </si>
  <si>
    <t xml:space="preserve">הערות שיופיעו בתחתית ההצעה</t>
  </si>
  <si>
    <t xml:space="preserve">הערה 1</t>
  </si>
  <si>
    <t xml:space="preserve">התעריף השעתי אינו כולל מע״מ. מע״מ יתווסף כחוק.</t>
  </si>
  <si>
    <t xml:space="preserve">הערה 2</t>
  </si>
  <si>
    <t xml:space="preserve">פרויקטים פרטיים מתומחרים בנפרד, לפי הזמנת החווה.</t>
  </si>
  <si>
    <t xml:space="preserve">הערה 3 (למשל תנאי תשלום)</t>
  </si>
  <si>
    <t xml:space="preserve">הצעת מחיר</t>
  </si>
  <si>
    <t xml:space="preserve">מאת</t>
  </si>
  <si>
    <t xml:space="preserve">לכבוד</t>
  </si>
  <si>
    <t xml:space="preserve">עוסק מורשה</t>
  </si>
  <si>
    <t xml:space="preserve">מס׳ הצעה</t>
  </si>
  <si>
    <t xml:space="preserve">חודש השירות</t>
  </si>
  <si>
    <t xml:space="preserve">תאריך</t>
  </si>
  <si>
    <t xml:space="preserve">ימי עבודה</t>
  </si>
  <si>
    <t xml:space="preserve">הדרכת שיקום – לפי שעות</t>
  </si>
  <si>
    <t xml:space="preserve">פרויקטים פרטיים – תמחור נפרד</t>
  </si>
  <si>
    <t xml:space="preserve">#</t>
  </si>
  <si>
    <t xml:space="preserve">יום</t>
  </si>
  <si>
    <t xml:space="preserve">פירוט</t>
  </si>
  <si>
    <t xml:space="preserve">התקיים?</t>
  </si>
  <si>
    <t xml:space="preserve">שעות</t>
  </si>
  <si>
    <t xml:space="preserve">סכום (₪)</t>
  </si>
  <si>
    <t xml:space="preserve">כן</t>
  </si>
  <si>
    <t xml:space="preserve">ישיבת צוות חודשית</t>
  </si>
  <si>
    <t xml:space="preserve">סה״כ</t>
  </si>
  <si>
    <t xml:space="preserve">הערות</t>
  </si>
  <si>
    <t xml:space="preserve">סה״כ שעות</t>
  </si>
  <si>
    <t xml:space="preserve">פרויקטים פרטיים</t>
  </si>
  <si>
    <t xml:space="preserve">סה״כ לפני מע״מ</t>
  </si>
  <si>
    <t xml:space="preserve">סה״כ לתשלום (כולל מע״מ)</t>
  </si>
  <si>
    <t xml:space="preserve">חתימה: ____________________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</si>
</sst>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&quot; ₪&quot;"/>
    <numFmt numFmtId="166" formatCode="General"/>
    <numFmt numFmtId="167" formatCode="hh:mm"/>
    <numFmt numFmtId="168" formatCode="0.0"/>
    <numFmt numFmtId="169" formatCode="0%"/>
    <numFmt numFmtId="170" formatCode="dd/mm/yyyy"/>
    <numFmt numFmtId="171" formatCode="[$-40D]mmmm\ yyyy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9A6535"/>
      <name val="Arial"/>
      <family val="0"/>
      <charset val="1"/>
    </font>
    <font>
      <b val="true"/>
      <sz val="11"/>
      <color rgb="FF2A1F17"/>
      <name val="Arial"/>
      <family val="0"/>
      <charset val="1"/>
    </font>
    <font>
      <sz val="11"/>
      <color rgb="FF2A1F17"/>
      <name val="Arial"/>
      <family val="0"/>
      <charset val="1"/>
    </font>
    <font>
      <b val="true"/>
      <sz val="12"/>
      <color rgb="FF9A653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A7F7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8A7F75"/>
      <name val="Arial"/>
      <family val="0"/>
      <charset val="1"/>
    </font>
    <font>
      <sz val="10"/>
      <color rgb="FF2A1F17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A7F7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22"/>
      <color rgb="FF9A6535"/>
      <name val="Arial"/>
      <family val="0"/>
      <charset val="1"/>
    </font>
    <font>
      <sz val="13"/>
      <color rgb="FF2A1F17"/>
      <name val="Arial"/>
      <family val="0"/>
      <charset val="1"/>
    </font>
    <font>
      <b val="true"/>
      <sz val="11"/>
      <color rgb="FF9A6535"/>
      <name val="Arial"/>
      <family val="0"/>
      <charset val="1"/>
    </font>
    <font>
      <sz val="10"/>
      <color rgb="FF8A7F75"/>
      <name val="Arial"/>
      <family val="0"/>
      <charset val="1"/>
    </font>
    <font>
      <b val="true"/>
      <sz val="10"/>
      <color rgb="FF2A1F17"/>
      <name val="Arial"/>
      <family val="0"/>
      <charset val="1"/>
    </font>
    <font>
      <b val="true"/>
      <sz val="9"/>
      <color rgb="FF2A1F17"/>
      <name val="Arial"/>
      <family val="0"/>
      <charset val="1"/>
    </font>
    <font>
      <b val="true"/>
      <sz val="10"/>
      <color rgb="FF9A6535"/>
      <name val="Arial"/>
      <family val="0"/>
      <charset val="1"/>
    </font>
    <font>
      <sz val="9"/>
      <color rgb="FF2A1F17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3EDE3"/>
      </patternFill>
    </fill>
    <fill>
      <patternFill patternType="solid">
        <fgColor rgb="FFFBF6EC"/>
        <bgColor rgb="FFF3EDE3"/>
      </patternFill>
    </fill>
    <fill>
      <patternFill patternType="solid">
        <fgColor rgb="FF9A6535"/>
        <bgColor rgb="FF8A7F75"/>
      </patternFill>
    </fill>
    <fill>
      <patternFill patternType="solid">
        <fgColor rgb="FF2A1F17"/>
        <bgColor rgb="FF333333"/>
      </patternFill>
    </fill>
    <fill>
      <patternFill patternType="solid">
        <fgColor rgb="FFE6DAC6"/>
        <bgColor rgb="FFEAD9C0"/>
      </patternFill>
    </fill>
    <fill>
      <patternFill patternType="solid">
        <fgColor rgb="FFEAD9C0"/>
        <bgColor rgb="FFE6DAC6"/>
      </patternFill>
    </fill>
    <fill>
      <patternFill patternType="solid">
        <fgColor rgb="FFF3EDE3"/>
        <bgColor rgb="FFFBF6E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FC3B0"/>
      </left>
      <right style="thin">
        <color rgb="FFCFC3B0"/>
      </right>
      <top style="thin">
        <color rgb="FFCFC3B0"/>
      </top>
      <bottom style="thin">
        <color rgb="FFCFC3B0"/>
      </bottom>
      <diagonal/>
    </border>
    <border diagonalUp="false" diagonalDown="false">
      <left/>
      <right/>
      <top/>
      <bottom style="thin">
        <color rgb="FFCFC3B0"/>
      </bottom>
      <diagonal/>
    </border>
    <border diagonalUp="false" diagonalDown="false">
      <left/>
      <right/>
      <top/>
      <bottom style="medium">
        <color rgb="FF9A6535"/>
      </bottom>
      <diagonal/>
    </border>
    <border diagonalUp="false" diagonalDown="false">
      <left/>
      <right/>
      <top style="thin">
        <color rgb="FF2A1F17"/>
      </top>
      <bottom style="thin">
        <color rgb="FF2A1F17"/>
      </bottom>
      <diagonal/>
    </border>
    <border diagonalUp="false" diagonalDown="false">
      <left/>
      <right/>
      <top style="medium">
        <color rgb="FF2A1F17"/>
      </top>
      <bottom style="medium">
        <color rgb="FF2A1F1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true" indent="0" shrinkToFit="false" readingOrder="2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 readingOrder="2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13" fillId="2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center" textRotation="0" wrapText="false" indent="0" shrinkToFit="false" readingOrder="2"/>
      <protection locked="true" hidden="false"/>
    </xf>
    <xf numFmtId="167" fontId="13" fillId="2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15" fillId="0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8" fontId="13" fillId="2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13" fillId="2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9" fontId="13" fillId="2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3" fillId="2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1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2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71" fontId="22" fillId="3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70" fontId="22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3" fillId="6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0" fontId="12" fillId="0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2" fillId="0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2" fillId="3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12" fillId="3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70" fontId="12" fillId="3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2" fillId="8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8" fontId="22" fillId="8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22" fillId="8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4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5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22" fillId="0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22" fillId="0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5" fillId="6" borderId="5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5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FFFFFF"/>
      </font>
      <fill>
        <patternFill>
          <bgColor rgb="FFFFFFFF"/>
        </patternFill>
      </fill>
    </dxf>
    <dxf>
      <font>
        <strike val="1"/>
        <color rgb="FFA0A0A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535"/>
      <rgbColor rgb="FF800080"/>
      <rgbColor rgb="FF008080"/>
      <rgbColor rgb="FFCFC3B0"/>
      <rgbColor rgb="FF8A7F75"/>
      <rgbColor rgb="FF9999FF"/>
      <rgbColor rgb="FF993366"/>
      <rgbColor rgb="FFFFF2CC"/>
      <rgbColor rgb="FFFBF6EC"/>
      <rgbColor rgb="FF660066"/>
      <rgbColor rgb="FFFF8080"/>
      <rgbColor rgb="FF0066CC"/>
      <rgbColor rgb="FFE6DAC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3EDE3"/>
      <rgbColor rgb="FFFFFF99"/>
      <rgbColor rgb="FF99CCFF"/>
      <rgbColor rgb="FFFF99CC"/>
      <rgbColor rgb="FFCC99FF"/>
      <rgbColor rgb="FFEAD9C0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2A1F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0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1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0"/>
  </cols>
  <sheetData>
    <row r="1" customFormat="false" ht="19.7" hidden="false" customHeight="false" outlineLevel="0" collapsed="false">
      <c r="B1" s="1" t="s">
        <v>0</v>
      </c>
    </row>
    <row r="3" customFormat="false" ht="48" hidden="false" customHeight="true" outlineLevel="0" collapsed="false">
      <c r="B3" s="2" t="s">
        <v>1</v>
      </c>
      <c r="C3" s="3" t="s">
        <v>2</v>
      </c>
    </row>
    <row r="4" customFormat="false" ht="48" hidden="false" customHeight="true" outlineLevel="0" collapsed="false">
      <c r="B4" s="2" t="s">
        <v>3</v>
      </c>
      <c r="C4" s="3" t="s">
        <v>4</v>
      </c>
    </row>
    <row r="5" customFormat="false" ht="48" hidden="false" customHeight="true" outlineLevel="0" collapsed="false">
      <c r="B5" s="2" t="s">
        <v>5</v>
      </c>
      <c r="C5" s="3" t="s">
        <v>6</v>
      </c>
    </row>
    <row r="6" customFormat="false" ht="48" hidden="false" customHeight="true" outlineLevel="0" collapsed="false">
      <c r="B6" s="2" t="s">
        <v>7</v>
      </c>
      <c r="C6" s="3" t="s">
        <v>8</v>
      </c>
    </row>
    <row r="7" customFormat="false" ht="48" hidden="false" customHeight="true" outlineLevel="0" collapsed="false">
      <c r="B7" s="2" t="s">
        <v>9</v>
      </c>
      <c r="C7" s="3" t="s">
        <v>10</v>
      </c>
    </row>
    <row r="8" customFormat="false" ht="48" hidden="false" customHeight="true" outlineLevel="0" collapsed="false">
      <c r="B8" s="2" t="s">
        <v>11</v>
      </c>
      <c r="C8" s="3" t="s">
        <v>12</v>
      </c>
    </row>
    <row r="9" customFormat="false" ht="48" hidden="false" customHeight="true" outlineLevel="0" collapsed="false">
      <c r="B9" s="2" t="s">
        <v>13</v>
      </c>
      <c r="C9" s="3" t="s">
        <v>14</v>
      </c>
    </row>
    <row r="10" customFormat="false" ht="48" hidden="false" customHeight="true" outlineLevel="0" collapsed="false">
      <c r="B10" s="2" t="s">
        <v>15</v>
      </c>
      <c r="C10" s="3" t="s">
        <v>16</v>
      </c>
    </row>
    <row r="12" customFormat="false" ht="15" hidden="false" customHeight="false" outlineLevel="0" collapsed="false">
      <c r="B12" s="4" t="s">
        <v>17</v>
      </c>
    </row>
    <row r="13" customFormat="false" ht="15" hidden="false" customHeight="false" outlineLevel="0" collapsed="false">
      <c r="B13" s="5"/>
      <c r="C13" s="6" t="s">
        <v>18</v>
      </c>
    </row>
    <row r="14" customFormat="false" ht="31.5" hidden="false" customHeight="true" outlineLevel="0" collapsed="false">
      <c r="B14" s="7"/>
      <c r="C14" s="8" t="s">
        <v>19</v>
      </c>
    </row>
    <row r="16" customFormat="false" ht="15" hidden="false" customHeight="false" outlineLevel="0" collapsed="false">
      <c r="B16" s="4" t="s">
        <v>20</v>
      </c>
    </row>
    <row r="17" customFormat="false" ht="15" hidden="false" customHeight="false" outlineLevel="0" collapsed="false">
      <c r="B17" s="9" t="s">
        <v>21</v>
      </c>
      <c r="C17" s="9" t="s">
        <v>22</v>
      </c>
    </row>
    <row r="18" customFormat="false" ht="15" hidden="false" customHeight="false" outlineLevel="0" collapsed="false">
      <c r="B18" s="10" t="s">
        <v>23</v>
      </c>
      <c r="C18" s="11" t="n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3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9"/>
    <col collapsed="false" customWidth="true" hidden="false" outlineLevel="0" max="5" min="5" style="0" width="4"/>
    <col collapsed="false" customWidth="true" hidden="false" outlineLevel="0" max="6" min="6" style="0" width="12"/>
  </cols>
  <sheetData>
    <row r="1" customFormat="false" ht="19.7" hidden="false" customHeight="false" outlineLevel="0" collapsed="false">
      <c r="B1" s="1" t="s">
        <v>24</v>
      </c>
    </row>
    <row r="2" customFormat="false" ht="15" hidden="false" customHeight="false" outlineLevel="0" collapsed="false">
      <c r="B2" s="12" t="s">
        <v>25</v>
      </c>
    </row>
    <row r="4" customFormat="false" ht="15" hidden="false" customHeight="false" outlineLevel="0" collapsed="false">
      <c r="B4" s="13" t="s">
        <v>26</v>
      </c>
      <c r="C4" s="14"/>
      <c r="F4" s="15" t="s">
        <v>27</v>
      </c>
    </row>
    <row r="5" customFormat="false" ht="15" hidden="false" customHeight="false" outlineLevel="0" collapsed="false">
      <c r="B5" s="16" t="s">
        <v>28</v>
      </c>
      <c r="C5" s="17" t="s">
        <v>29</v>
      </c>
      <c r="F5" s="18" t="s">
        <v>30</v>
      </c>
    </row>
    <row r="6" customFormat="false" ht="15" hidden="false" customHeight="false" outlineLevel="0" collapsed="false">
      <c r="B6" s="16" t="s">
        <v>31</v>
      </c>
      <c r="C6" s="17" t="s">
        <v>32</v>
      </c>
      <c r="F6" s="18" t="s">
        <v>33</v>
      </c>
    </row>
    <row r="7" customFormat="false" ht="15" hidden="false" customHeight="false" outlineLevel="0" collapsed="false">
      <c r="B7" s="16" t="s">
        <v>34</v>
      </c>
      <c r="C7" s="17" t="s">
        <v>32</v>
      </c>
      <c r="F7" s="18" t="s">
        <v>35</v>
      </c>
    </row>
    <row r="8" customFormat="false" ht="15" hidden="false" customHeight="false" outlineLevel="0" collapsed="false">
      <c r="B8" s="16" t="s">
        <v>36</v>
      </c>
      <c r="C8" s="17" t="s">
        <v>32</v>
      </c>
      <c r="F8" s="18" t="s">
        <v>37</v>
      </c>
    </row>
    <row r="9" customFormat="false" ht="15" hidden="false" customHeight="false" outlineLevel="0" collapsed="false">
      <c r="B9" s="16" t="s">
        <v>38</v>
      </c>
      <c r="C9" s="17" t="s">
        <v>39</v>
      </c>
      <c r="F9" s="18" t="s">
        <v>40</v>
      </c>
    </row>
    <row r="10" customFormat="false" ht="15" hidden="false" customHeight="false" outlineLevel="0" collapsed="false">
      <c r="F10" s="18" t="s">
        <v>41</v>
      </c>
    </row>
    <row r="11" customFormat="false" ht="15" hidden="false" customHeight="false" outlineLevel="0" collapsed="false">
      <c r="B11" s="13" t="s">
        <v>42</v>
      </c>
      <c r="C11" s="14"/>
      <c r="F11" s="18" t="s">
        <v>43</v>
      </c>
    </row>
    <row r="12" customFormat="false" ht="15" hidden="false" customHeight="false" outlineLevel="0" collapsed="false">
      <c r="B12" s="16" t="s">
        <v>44</v>
      </c>
      <c r="C12" s="17" t="s">
        <v>45</v>
      </c>
    </row>
    <row r="13" customFormat="false" ht="15" hidden="false" customHeight="false" outlineLevel="0" collapsed="false">
      <c r="B13" s="16" t="s">
        <v>46</v>
      </c>
      <c r="C13" s="17" t="s">
        <v>47</v>
      </c>
    </row>
    <row r="14" customFormat="false" ht="15" hidden="false" customHeight="false" outlineLevel="0" collapsed="false">
      <c r="B14" s="16" t="s">
        <v>48</v>
      </c>
      <c r="C14" s="17" t="s">
        <v>32</v>
      </c>
    </row>
    <row r="16" customFormat="false" ht="15" hidden="false" customHeight="false" outlineLevel="0" collapsed="false">
      <c r="B16" s="13" t="s">
        <v>49</v>
      </c>
      <c r="C16" s="14"/>
    </row>
    <row r="17" customFormat="false" ht="15" hidden="false" customHeight="false" outlineLevel="0" collapsed="false">
      <c r="B17" s="16" t="s">
        <v>50</v>
      </c>
      <c r="C17" s="17" t="s">
        <v>51</v>
      </c>
      <c r="D17" s="15" t="s">
        <v>52</v>
      </c>
    </row>
    <row r="18" customFormat="false" ht="15" hidden="false" customHeight="false" outlineLevel="0" collapsed="false">
      <c r="B18" s="16" t="s">
        <v>53</v>
      </c>
      <c r="C18" s="17" t="s">
        <v>30</v>
      </c>
      <c r="D18" s="19" t="n">
        <f aca="false">MATCH(C18,$F$5:$F$11,0)</f>
        <v>1</v>
      </c>
    </row>
    <row r="19" customFormat="false" ht="15" hidden="false" customHeight="false" outlineLevel="0" collapsed="false">
      <c r="B19" s="16" t="s">
        <v>54</v>
      </c>
      <c r="C19" s="17" t="s">
        <v>40</v>
      </c>
      <c r="D19" s="19" t="n">
        <f aca="false">MATCH(C19,$F$5:$F$11,0)</f>
        <v>5</v>
      </c>
    </row>
    <row r="20" customFormat="false" ht="15" hidden="false" customHeight="false" outlineLevel="0" collapsed="false">
      <c r="B20" s="16" t="s">
        <v>55</v>
      </c>
      <c r="C20" s="20" t="n">
        <v>0.375</v>
      </c>
    </row>
    <row r="21" customFormat="false" ht="15" hidden="false" customHeight="false" outlineLevel="0" collapsed="false">
      <c r="B21" s="16" t="s">
        <v>56</v>
      </c>
      <c r="C21" s="20" t="n">
        <v>0.520833333333333</v>
      </c>
    </row>
    <row r="22" customFormat="false" ht="15" hidden="false" customHeight="false" outlineLevel="0" collapsed="false">
      <c r="B22" s="16" t="s">
        <v>57</v>
      </c>
      <c r="C22" s="21" t="n">
        <f aca="false">(C21-C20)*24</f>
        <v>3.5</v>
      </c>
    </row>
    <row r="23" customFormat="false" ht="15" hidden="false" customHeight="false" outlineLevel="0" collapsed="false">
      <c r="B23" s="16" t="s">
        <v>58</v>
      </c>
      <c r="C23" s="22" t="n">
        <v>1</v>
      </c>
    </row>
    <row r="24" customFormat="false" ht="15" hidden="false" customHeight="false" outlineLevel="0" collapsed="false">
      <c r="B24" s="16" t="s">
        <v>59</v>
      </c>
      <c r="C24" s="23" t="n">
        <v>50</v>
      </c>
    </row>
    <row r="25" customFormat="false" ht="15" hidden="false" customHeight="false" outlineLevel="0" collapsed="false">
      <c r="B25" s="16" t="s">
        <v>60</v>
      </c>
      <c r="C25" s="24" t="n">
        <v>0.18</v>
      </c>
    </row>
    <row r="27" customFormat="false" ht="15" hidden="false" customHeight="false" outlineLevel="0" collapsed="false">
      <c r="B27" s="13" t="s">
        <v>61</v>
      </c>
      <c r="C27" s="14"/>
    </row>
    <row r="28" customFormat="false" ht="15" hidden="false" customHeight="false" outlineLevel="0" collapsed="false">
      <c r="B28" s="16" t="s">
        <v>62</v>
      </c>
      <c r="C28" s="25" t="s">
        <v>63</v>
      </c>
    </row>
    <row r="29" customFormat="false" ht="15" hidden="false" customHeight="false" outlineLevel="0" collapsed="false">
      <c r="B29" s="16" t="s">
        <v>64</v>
      </c>
      <c r="C29" s="25" t="s">
        <v>65</v>
      </c>
    </row>
    <row r="30" customFormat="false" ht="15" hidden="false" customHeight="false" outlineLevel="0" collapsed="false">
      <c r="B30" s="16" t="s">
        <v>66</v>
      </c>
      <c r="C30" s="25"/>
    </row>
  </sheetData>
  <dataValidations count="1">
    <dataValidation allowBlank="false" errorStyle="stop" operator="between" showDropDown="false" showErrorMessage="false" showInputMessage="false" sqref="C18:C19" type="list">
      <formula1>$F$5:$F$11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true" outlineLevel="0" max="11" min="11" style="0" width="13"/>
  </cols>
  <sheetData>
    <row r="1" customFormat="false" ht="36" hidden="false" customHeight="true" outlineLevel="0" collapsed="false">
      <c r="A1" s="26" t="s">
        <v>67</v>
      </c>
      <c r="B1" s="26"/>
      <c r="C1" s="26"/>
      <c r="D1" s="26"/>
      <c r="E1" s="26"/>
      <c r="F1" s="26"/>
      <c r="G1" s="26"/>
      <c r="H1" s="26"/>
      <c r="I1" s="26"/>
      <c r="K1" s="27" t="n">
        <f aca="false">DATE(YEAR($H$11),MONTH($H$11),1)</f>
        <v>46296</v>
      </c>
    </row>
    <row r="2" customFormat="false" ht="24" hidden="false" customHeight="true" outlineLevel="0" collapsed="false">
      <c r="A2" s="28" t="str">
        <f aca="false">הגדרות!$C$17&amp;" · "&amp;CHOOSE(MONTH($K$1),"ינואר","פברואר","מרץ","אפריל","מאי","יוני","יולי","אוגוסט","ספטמבר","אוקטובר","נובמבר","דצמבר")&amp;" "&amp;YEAR($K$1)</f>
        <v>הדרכת שיקום · אוקטובר 2026</v>
      </c>
      <c r="B2" s="28"/>
      <c r="C2" s="28"/>
      <c r="D2" s="28"/>
      <c r="E2" s="28"/>
      <c r="F2" s="28"/>
      <c r="G2" s="28"/>
      <c r="H2" s="28"/>
      <c r="I2" s="28"/>
      <c r="K2" s="27" t="n">
        <f aca="false">EOMONTH($K$1,0)</f>
        <v>46326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9" t="s">
        <v>68</v>
      </c>
      <c r="B4" s="29"/>
      <c r="C4" s="29"/>
      <c r="D4" s="29"/>
      <c r="F4" s="29" t="s">
        <v>69</v>
      </c>
      <c r="G4" s="29"/>
      <c r="H4" s="29"/>
      <c r="I4" s="29"/>
    </row>
    <row r="5" customFormat="false" ht="15" hidden="false" customHeight="false" outlineLevel="0" collapsed="false">
      <c r="A5" s="30" t="s">
        <v>28</v>
      </c>
      <c r="B5" s="30"/>
      <c r="C5" s="31" t="str">
        <f aca="false">הגדרות!$C$5</f>
        <v>הנגרייה</v>
      </c>
      <c r="D5" s="31"/>
      <c r="F5" s="30" t="s">
        <v>44</v>
      </c>
      <c r="G5" s="30"/>
      <c r="H5" s="31" t="str">
        <f aca="false">הגדרות!$C$12</f>
        <v>חוות רום</v>
      </c>
      <c r="I5" s="31"/>
    </row>
    <row r="6" customFormat="false" ht="15" hidden="false" customHeight="false" outlineLevel="0" collapsed="false">
      <c r="A6" s="30" t="s">
        <v>31</v>
      </c>
      <c r="B6" s="30"/>
      <c r="C6" s="31" t="str">
        <f aca="false">הגדרות!$C$6</f>
        <v>(למילוי)</v>
      </c>
      <c r="D6" s="31"/>
      <c r="F6" s="30" t="s">
        <v>46</v>
      </c>
      <c r="G6" s="30"/>
      <c r="H6" s="31" t="str">
        <f aca="false">הגדרות!$C$13</f>
        <v>הר כמון</v>
      </c>
      <c r="I6" s="31"/>
    </row>
    <row r="7" customFormat="false" ht="15" hidden="false" customHeight="false" outlineLevel="0" collapsed="false">
      <c r="A7" s="30" t="s">
        <v>70</v>
      </c>
      <c r="B7" s="30"/>
      <c r="C7" s="31" t="str">
        <f aca="false">הגדרות!$C$7</f>
        <v>(למילוי)</v>
      </c>
      <c r="D7" s="31"/>
      <c r="F7" s="30" t="s">
        <v>48</v>
      </c>
      <c r="G7" s="30"/>
      <c r="H7" s="31" t="str">
        <f aca="false">הגדרות!$C$14</f>
        <v>(למילוי)</v>
      </c>
      <c r="I7" s="31"/>
    </row>
    <row r="8" customFormat="false" ht="15" hidden="false" customHeight="false" outlineLevel="0" collapsed="false">
      <c r="A8" s="30" t="s">
        <v>36</v>
      </c>
      <c r="B8" s="30"/>
      <c r="C8" s="31" t="str">
        <f aca="false">הגדרות!$C$8</f>
        <v>(למילוי)</v>
      </c>
      <c r="D8" s="31"/>
    </row>
    <row r="9" customFormat="false" ht="15" hidden="false" customHeight="false" outlineLevel="0" collapsed="false">
      <c r="A9" s="30" t="s">
        <v>38</v>
      </c>
      <c r="B9" s="30"/>
      <c r="C9" s="31" t="str">
        <f aca="false">הגדרות!$C$9</f>
        <v>nettaamit21@gmail.com</v>
      </c>
      <c r="D9" s="31"/>
    </row>
    <row r="10" customFormat="false" ht="9.75" hidden="false" customHeight="true" outlineLevel="0" collapsed="false"/>
    <row r="11" customFormat="false" ht="15" hidden="false" customHeight="false" outlineLevel="0" collapsed="false">
      <c r="A11" s="30" t="s">
        <v>71</v>
      </c>
      <c r="B11" s="30"/>
      <c r="C11" s="31" t="str">
        <f aca="false">YEAR($K$1)&amp;"-"&amp;TEXT(MONTH($K$1),"00")</f>
        <v>2026-10</v>
      </c>
      <c r="D11" s="31"/>
      <c r="F11" s="30" t="s">
        <v>72</v>
      </c>
      <c r="G11" s="30"/>
      <c r="H11" s="32" t="n">
        <v>46296</v>
      </c>
      <c r="I11" s="32"/>
    </row>
    <row r="12" customFormat="false" ht="15" hidden="false" customHeight="false" outlineLevel="0" collapsed="false">
      <c r="A12" s="30" t="s">
        <v>73</v>
      </c>
      <c r="B12" s="30"/>
      <c r="C12" s="33" t="n">
        <f aca="false">$K$2</f>
        <v>46326</v>
      </c>
      <c r="D12" s="33"/>
      <c r="F12" s="30" t="s">
        <v>74</v>
      </c>
      <c r="G12" s="30"/>
      <c r="H12" s="31" t="str">
        <f aca="false">הגדרות!$C$18&amp;" ו"&amp;הגדרות!$C$19&amp;", "&amp;TEXT(HOUR(הגדרות!$C$20),"00")&amp;":"&amp;TEXT(MINUTE(הגדרות!$C$20),"00")&amp;"–"&amp;TEXT(HOUR(הגדרות!$C$21),"00")&amp;":"&amp;TEXT(MINUTE(הגדרות!$C$21),"00")</f>
        <v>ראשון וחמישי, 09:00–12:30</v>
      </c>
      <c r="I12" s="31"/>
    </row>
    <row r="13" customFormat="false" ht="19.5" hidden="false" customHeight="true" outlineLevel="0" collapsed="false">
      <c r="A13" s="34" t="s">
        <v>75</v>
      </c>
      <c r="B13" s="34"/>
      <c r="C13" s="34"/>
      <c r="D13" s="34"/>
      <c r="E13" s="34"/>
      <c r="F13" s="34"/>
      <c r="G13" s="34"/>
      <c r="H13" s="35" t="s">
        <v>76</v>
      </c>
      <c r="I13" s="35"/>
    </row>
    <row r="14" customFormat="false" ht="27.75" hidden="false" customHeight="true" outlineLevel="0" collapsed="false">
      <c r="A14" s="36" t="s">
        <v>77</v>
      </c>
      <c r="B14" s="36" t="s">
        <v>73</v>
      </c>
      <c r="C14" s="36" t="s">
        <v>78</v>
      </c>
      <c r="D14" s="36" t="s">
        <v>79</v>
      </c>
      <c r="E14" s="36" t="s">
        <v>80</v>
      </c>
      <c r="F14" s="36" t="s">
        <v>81</v>
      </c>
      <c r="G14" s="36" t="s">
        <v>82</v>
      </c>
      <c r="H14" s="37" t="s">
        <v>21</v>
      </c>
      <c r="I14" s="37" t="s">
        <v>22</v>
      </c>
    </row>
    <row r="15" customFormat="false" ht="19.5" hidden="false" customHeight="true" outlineLevel="0" collapsed="false">
      <c r="A15" s="38" t="n">
        <f aca="false">IF(B15="","",ROW()-14)</f>
        <v>1</v>
      </c>
      <c r="B15" s="39" t="n">
        <f aca="false">$K$1+MIN(MOD(הגדרות!$D$18-WEEKDAY($K$1),7),MOD(הגדרות!$D$19-WEEKDAY($K$1),7))</f>
        <v>46296</v>
      </c>
      <c r="C15" s="38" t="str">
        <f aca="false">IF(B15="","",INDEX(הגדרות!$F$5:$F$11,WEEKDAY(B15)))</f>
        <v>חמישי</v>
      </c>
      <c r="D15" s="40" t="str">
        <f aca="false">IF(B15="","","הדרכה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5" s="41" t="s">
        <v>83</v>
      </c>
      <c r="F15" s="42" t="n">
        <f aca="false">IF(B15="","",IF(E15="לא",0,הגדרות!$C$22))</f>
        <v>3.5</v>
      </c>
      <c r="G15" s="43" t="n">
        <f aca="false">IF(B15="","",F15*הגדרות!$C$24)</f>
        <v>175</v>
      </c>
      <c r="H15" s="44"/>
      <c r="I15" s="45"/>
      <c r="K15" s="27" t="n">
        <f aca="false">IF(B15="","",B15+MIN(MOD(הגדרות!$D$18-WEEKDAY(B15)-1,7)+1,MOD(הגדרות!$D$19-WEEKDAY(B15)-1,7)+1))</f>
        <v>46299</v>
      </c>
    </row>
    <row r="16" customFormat="false" ht="19.5" hidden="false" customHeight="true" outlineLevel="0" collapsed="false">
      <c r="A16" s="38" t="n">
        <f aca="false">IF(B16="","",ROW()-14)</f>
        <v>2</v>
      </c>
      <c r="B16" s="39" t="n">
        <f aca="false">IF(K15="","",IF(K15&gt;$K$2,"",K15))</f>
        <v>46299</v>
      </c>
      <c r="C16" s="38" t="str">
        <f aca="false">IF(B16="","",INDEX(הגדרות!$F$5:$F$11,WEEKDAY(B16)))</f>
        <v>ראשון</v>
      </c>
      <c r="D16" s="40" t="str">
        <f aca="false">IF(B16="","","הדרכה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6" s="41" t="s">
        <v>83</v>
      </c>
      <c r="F16" s="42" t="n">
        <f aca="false">IF(B16="","",IF(E16="לא",0,הגדרות!$C$22))</f>
        <v>3.5</v>
      </c>
      <c r="G16" s="43" t="n">
        <f aca="false">IF(B16="","",F16*הגדרות!$C$24)</f>
        <v>175</v>
      </c>
      <c r="H16" s="44"/>
      <c r="I16" s="45"/>
      <c r="K16" s="27" t="n">
        <f aca="false">IF(B16="","",B16+MIN(MOD(הגדרות!$D$18-WEEKDAY(B16)-1,7)+1,MOD(הגדרות!$D$19-WEEKDAY(B16)-1,7)+1))</f>
        <v>46303</v>
      </c>
    </row>
    <row r="17" customFormat="false" ht="19.5" hidden="false" customHeight="true" outlineLevel="0" collapsed="false">
      <c r="A17" s="38" t="n">
        <f aca="false">IF(B17="","",ROW()-14)</f>
        <v>3</v>
      </c>
      <c r="B17" s="39" t="n">
        <f aca="false">IF(K16="","",IF(K16&gt;$K$2,"",K16))</f>
        <v>46303</v>
      </c>
      <c r="C17" s="38" t="str">
        <f aca="false">IF(B17="","",INDEX(הגדרות!$F$5:$F$11,WEEKDAY(B17)))</f>
        <v>חמישי</v>
      </c>
      <c r="D17" s="40" t="str">
        <f aca="false">IF(B17="","","הדרכה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7" s="41" t="s">
        <v>83</v>
      </c>
      <c r="F17" s="42" t="n">
        <f aca="false">IF(B17="","",IF(E17="לא",0,הגדרות!$C$22))</f>
        <v>3.5</v>
      </c>
      <c r="G17" s="43" t="n">
        <f aca="false">IF(B17="","",F17*הגדרות!$C$24)</f>
        <v>175</v>
      </c>
      <c r="H17" s="44"/>
      <c r="I17" s="45"/>
      <c r="K17" s="27" t="n">
        <f aca="false">IF(B17="","",B17+MIN(MOD(הגדרות!$D$18-WEEKDAY(B17)-1,7)+1,MOD(הגדרות!$D$19-WEEKDAY(B17)-1,7)+1))</f>
        <v>46306</v>
      </c>
    </row>
    <row r="18" customFormat="false" ht="19.5" hidden="false" customHeight="true" outlineLevel="0" collapsed="false">
      <c r="A18" s="38" t="n">
        <f aca="false">IF(B18="","",ROW()-14)</f>
        <v>4</v>
      </c>
      <c r="B18" s="39" t="n">
        <f aca="false">IF(K17="","",IF(K17&gt;$K$2,"",K17))</f>
        <v>46306</v>
      </c>
      <c r="C18" s="38" t="str">
        <f aca="false">IF(B18="","",INDEX(הגדרות!$F$5:$F$11,WEEKDAY(B18)))</f>
        <v>ראשון</v>
      </c>
      <c r="D18" s="40" t="str">
        <f aca="false">IF(B18="","","הדרכה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8" s="41" t="s">
        <v>83</v>
      </c>
      <c r="F18" s="42" t="n">
        <f aca="false">IF(B18="","",IF(E18="לא",0,הגדרות!$C$22))</f>
        <v>3.5</v>
      </c>
      <c r="G18" s="43" t="n">
        <f aca="false">IF(B18="","",F18*הגדרות!$C$24)</f>
        <v>175</v>
      </c>
      <c r="H18" s="44"/>
      <c r="I18" s="45"/>
      <c r="K18" s="27" t="n">
        <f aca="false">IF(B18="","",B18+MIN(MOD(הגדרות!$D$18-WEEKDAY(B18)-1,7)+1,MOD(הגדרות!$D$19-WEEKDAY(B18)-1,7)+1))</f>
        <v>46310</v>
      </c>
    </row>
    <row r="19" customFormat="false" ht="19.5" hidden="false" customHeight="true" outlineLevel="0" collapsed="false">
      <c r="A19" s="38" t="n">
        <f aca="false">IF(B19="","",ROW()-14)</f>
        <v>5</v>
      </c>
      <c r="B19" s="39" t="n">
        <f aca="false">IF(K18="","",IF(K18&gt;$K$2,"",K18))</f>
        <v>46310</v>
      </c>
      <c r="C19" s="38" t="str">
        <f aca="false">IF(B19="","",INDEX(הגדרות!$F$5:$F$11,WEEKDAY(B19)))</f>
        <v>חמישי</v>
      </c>
      <c r="D19" s="40" t="str">
        <f aca="false">IF(B19="","","הדרכה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9" s="41" t="s">
        <v>83</v>
      </c>
      <c r="F19" s="42" t="n">
        <f aca="false">IF(B19="","",IF(E19="לא",0,הגדרות!$C$22))</f>
        <v>3.5</v>
      </c>
      <c r="G19" s="43" t="n">
        <f aca="false">IF(B19="","",F19*הגדרות!$C$24)</f>
        <v>175</v>
      </c>
      <c r="H19" s="44"/>
      <c r="I19" s="45"/>
      <c r="K19" s="27" t="n">
        <f aca="false">IF(B19="","",B19+MIN(MOD(הגדרות!$D$18-WEEKDAY(B19)-1,7)+1,MOD(הגדרות!$D$19-WEEKDAY(B19)-1,7)+1))</f>
        <v>46313</v>
      </c>
    </row>
    <row r="20" customFormat="false" ht="19.5" hidden="false" customHeight="true" outlineLevel="0" collapsed="false">
      <c r="A20" s="38" t="n">
        <f aca="false">IF(B20="","",ROW()-14)</f>
        <v>6</v>
      </c>
      <c r="B20" s="39" t="n">
        <f aca="false">IF(K19="","",IF(K19&gt;$K$2,"",K19))</f>
        <v>46313</v>
      </c>
      <c r="C20" s="38" t="str">
        <f aca="false">IF(B20="","",INDEX(הגדרות!$F$5:$F$11,WEEKDAY(B20)))</f>
        <v>ראשון</v>
      </c>
      <c r="D20" s="40" t="str">
        <f aca="false">IF(B20="","","הדרכה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0" s="41" t="s">
        <v>83</v>
      </c>
      <c r="F20" s="42" t="n">
        <f aca="false">IF(B20="","",IF(E20="לא",0,הגדרות!$C$22))</f>
        <v>3.5</v>
      </c>
      <c r="G20" s="43" t="n">
        <f aca="false">IF(B20="","",F20*הגדרות!$C$24)</f>
        <v>175</v>
      </c>
      <c r="H20" s="44"/>
      <c r="I20" s="45"/>
      <c r="K20" s="27" t="n">
        <f aca="false">IF(B20="","",B20+MIN(MOD(הגדרות!$D$18-WEEKDAY(B20)-1,7)+1,MOD(הגדרות!$D$19-WEEKDAY(B20)-1,7)+1))</f>
        <v>46317</v>
      </c>
    </row>
    <row r="21" customFormat="false" ht="19.5" hidden="false" customHeight="true" outlineLevel="0" collapsed="false">
      <c r="A21" s="38" t="n">
        <f aca="false">IF(B21="","",ROW()-14)</f>
        <v>7</v>
      </c>
      <c r="B21" s="39" t="n">
        <f aca="false">IF(K20="","",IF(K20&gt;$K$2,"",K20))</f>
        <v>46317</v>
      </c>
      <c r="C21" s="38" t="str">
        <f aca="false">IF(B21="","",INDEX(הגדרות!$F$5:$F$11,WEEKDAY(B21)))</f>
        <v>חמישי</v>
      </c>
      <c r="D21" s="40" t="str">
        <f aca="false">IF(B21="","","הדרכה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1" s="41" t="s">
        <v>83</v>
      </c>
      <c r="F21" s="42" t="n">
        <f aca="false">IF(B21="","",IF(E21="לא",0,הגדרות!$C$22))</f>
        <v>3.5</v>
      </c>
      <c r="G21" s="43" t="n">
        <f aca="false">IF(B21="","",F21*הגדרות!$C$24)</f>
        <v>175</v>
      </c>
      <c r="H21" s="44"/>
      <c r="I21" s="45"/>
      <c r="K21" s="27" t="n">
        <f aca="false">IF(B21="","",B21+MIN(MOD(הגדרות!$D$18-WEEKDAY(B21)-1,7)+1,MOD(הגדרות!$D$19-WEEKDAY(B21)-1,7)+1))</f>
        <v>46320</v>
      </c>
    </row>
    <row r="22" customFormat="false" ht="19.5" hidden="false" customHeight="true" outlineLevel="0" collapsed="false">
      <c r="A22" s="38" t="n">
        <f aca="false">IF(B22="","",ROW()-14)</f>
        <v>8</v>
      </c>
      <c r="B22" s="39" t="n">
        <f aca="false">IF(K21="","",IF(K21&gt;$K$2,"",K21))</f>
        <v>46320</v>
      </c>
      <c r="C22" s="38" t="str">
        <f aca="false">IF(B22="","",INDEX(הגדרות!$F$5:$F$11,WEEKDAY(B22)))</f>
        <v>ראשון</v>
      </c>
      <c r="D22" s="40" t="str">
        <f aca="false">IF(B22="","","הדרכה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2" s="41" t="s">
        <v>83</v>
      </c>
      <c r="F22" s="42" t="n">
        <f aca="false">IF(B22="","",IF(E22="לא",0,הגדרות!$C$22))</f>
        <v>3.5</v>
      </c>
      <c r="G22" s="43" t="n">
        <f aca="false">IF(B22="","",F22*הגדרות!$C$24)</f>
        <v>175</v>
      </c>
      <c r="H22" s="44"/>
      <c r="I22" s="45"/>
      <c r="K22" s="27" t="n">
        <f aca="false">IF(B22="","",B22+MIN(MOD(הגדרות!$D$18-WEEKDAY(B22)-1,7)+1,MOD(הגדרות!$D$19-WEEKDAY(B22)-1,7)+1))</f>
        <v>46324</v>
      </c>
    </row>
    <row r="23" customFormat="false" ht="19.5" hidden="false" customHeight="true" outlineLevel="0" collapsed="false">
      <c r="A23" s="38" t="n">
        <f aca="false">IF(B23="","",ROW()-14)</f>
        <v>9</v>
      </c>
      <c r="B23" s="39" t="n">
        <f aca="false">IF(K22="","",IF(K22&gt;$K$2,"",K22))</f>
        <v>46324</v>
      </c>
      <c r="C23" s="38" t="str">
        <f aca="false">IF(B23="","",INDEX(הגדרות!$F$5:$F$11,WEEKDAY(B23)))</f>
        <v>חמישי</v>
      </c>
      <c r="D23" s="40" t="str">
        <f aca="false">IF(B23="","","הדרכה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3" s="41" t="s">
        <v>83</v>
      </c>
      <c r="F23" s="42" t="n">
        <f aca="false">IF(B23="","",IF(E23="לא",0,הגדרות!$C$22))</f>
        <v>3.5</v>
      </c>
      <c r="G23" s="43" t="n">
        <f aca="false">IF(B23="","",F23*הגדרות!$C$24)</f>
        <v>175</v>
      </c>
      <c r="H23" s="44"/>
      <c r="I23" s="45"/>
      <c r="K23" s="27" t="n">
        <f aca="false">IF(B23="","",B23+MIN(MOD(הגדרות!$D$18-WEEKDAY(B23)-1,7)+1,MOD(הגדרות!$D$19-WEEKDAY(B23)-1,7)+1))</f>
        <v>46327</v>
      </c>
    </row>
    <row r="24" customFormat="false" ht="19.5" hidden="false" customHeight="true" outlineLevel="0" collapsed="false">
      <c r="A24" s="38" t="str">
        <f aca="false">IF(B24="","",ROW()-14)</f>
        <v/>
      </c>
      <c r="B24" s="39" t="str">
        <f aca="false">IF(K23="","",IF(K23&gt;$K$2,"",K23))</f>
        <v/>
      </c>
      <c r="C24" s="38" t="str">
        <f aca="false">IF(B24="","",INDEX(הגדרות!$F$5:$F$11,WEEKDAY(B24)))</f>
        <v/>
      </c>
      <c r="D24" s="40" t="str">
        <f aca="false">IF(B24="","","הדרכה "&amp;TEXT(HOUR(הגדרות!$C$20),"00")&amp;":"&amp;TEXT(MINUTE(הגדרות!$C$20),"00")&amp;"–"&amp;TEXT(HOUR(הגדרות!$C$21),"00")&amp;":"&amp;TEXT(MINUTE(הגדרות!$C$21),"00"))</f>
        <v/>
      </c>
      <c r="E24" s="41" t="s">
        <v>83</v>
      </c>
      <c r="F24" s="42" t="str">
        <f aca="false">IF(B24="","",IF(E24="לא",0,הגדרות!$C$22))</f>
        <v/>
      </c>
      <c r="G24" s="43" t="str">
        <f aca="false">IF(B24="","",F24*הגדרות!$C$24)</f>
        <v/>
      </c>
      <c r="H24" s="44"/>
      <c r="I24" s="45"/>
      <c r="K24" s="27" t="str">
        <f aca="false">IF(B24="","",B24+MIN(MOD(הגדרות!$D$18-WEEKDAY(B24)-1,7)+1,MOD(הגדרות!$D$19-WEEKDAY(B24)-1,7)+1))</f>
        <v/>
      </c>
    </row>
    <row r="25" customFormat="false" ht="19.5" hidden="false" customHeight="true" outlineLevel="0" collapsed="false">
      <c r="A25" s="38" t="n">
        <f aca="false">COUNT($B$15:$B$24)+1</f>
        <v>10</v>
      </c>
      <c r="B25" s="46"/>
      <c r="C25" s="38" t="str">
        <f aca="false">IF(B25="","",INDEX(הגדרות!$F$5:$F$11,WEEKDAY(B25)))</f>
        <v/>
      </c>
      <c r="D25" s="40" t="s">
        <v>84</v>
      </c>
      <c r="E25" s="41" t="s">
        <v>83</v>
      </c>
      <c r="F25" s="42" t="n">
        <f aca="false">IF(E25="לא",0,הגדרות!$C$23)</f>
        <v>1</v>
      </c>
      <c r="G25" s="43" t="n">
        <f aca="false">F25*הגדרות!$C$24</f>
        <v>50</v>
      </c>
      <c r="H25" s="44"/>
      <c r="I25" s="45"/>
      <c r="K25" s="27"/>
    </row>
    <row r="26" customFormat="false" ht="21.75" hidden="false" customHeight="true" outlineLevel="0" collapsed="false">
      <c r="A26" s="47" t="s">
        <v>85</v>
      </c>
      <c r="B26" s="47"/>
      <c r="C26" s="47"/>
      <c r="D26" s="47"/>
      <c r="E26" s="47"/>
      <c r="F26" s="48" t="n">
        <f aca="false">SUM(F15:F25)</f>
        <v>32.5</v>
      </c>
      <c r="G26" s="49" t="n">
        <f aca="false">SUM(G15:G25)</f>
        <v>1625</v>
      </c>
      <c r="H26" s="47"/>
      <c r="I26" s="49" t="n">
        <f aca="false">SUM(I15:I25)</f>
        <v>0</v>
      </c>
    </row>
    <row r="28" customFormat="false" ht="19.5" hidden="false" customHeight="true" outlineLevel="0" collapsed="false">
      <c r="A28" s="50" t="s">
        <v>86</v>
      </c>
      <c r="B28" s="50"/>
      <c r="C28" s="50"/>
      <c r="D28" s="50"/>
      <c r="F28" s="40" t="s">
        <v>87</v>
      </c>
      <c r="G28" s="40"/>
      <c r="H28" s="40"/>
      <c r="I28" s="42" t="n">
        <f aca="false">F26</f>
        <v>32.5</v>
      </c>
    </row>
    <row r="29" customFormat="false" ht="30" hidden="false" customHeight="true" outlineLevel="0" collapsed="false">
      <c r="A29" s="51" t="str">
        <f aca="false">"• "&amp;הגדרות!$C$17&amp;": ימי "&amp;הגדרות!$C$18&amp;" ו"&amp;הגדרות!$C$19&amp;", "&amp;TEXT(HOUR(הגדרות!$C$20),"00")&amp;":"&amp;TEXT(MINUTE(הגדרות!$C$20),"00")&amp;"–"&amp;TEXT(HOUR(הגדרות!$C$21),"00")&amp;":"&amp;TEXT(MINUTE(הגדרות!$C$21),"00")&amp;" ("&amp;הגדרות!$C$22&amp;" שעות ליום), וישיבת צוות חודשית ("&amp;הגדרות!$C$23&amp;" ש׳)."</f>
        <v>• הדרכת שיקום: ימי ראשון וחמישי, 09:00–12:30 (3.5 שעות ליום), וישיבת צוות חודשית (1 ש׳).</v>
      </c>
      <c r="B29" s="51"/>
      <c r="C29" s="51"/>
      <c r="D29" s="51"/>
      <c r="E29" s="51"/>
      <c r="F29" s="40" t="str">
        <f aca="false">"הדרכת שיקום ("&amp;TEXT(F26,"0.0")&amp;" שעות × "&amp;הגדרות!$C$24&amp;" ₪)"</f>
        <v>הדרכת שיקום (32.5 שעות × 50 ₪)</v>
      </c>
      <c r="G29" s="40"/>
      <c r="H29" s="40"/>
      <c r="I29" s="43" t="n">
        <f aca="false">G26</f>
        <v>1625</v>
      </c>
    </row>
    <row r="30" customFormat="false" ht="19.5" hidden="false" customHeight="true" outlineLevel="0" collapsed="false">
      <c r="A30" s="51" t="str">
        <f aca="false">IF(הגדרות!$C$28="","","• "&amp;הגדרות!$C$28)</f>
        <v>• התעריף השעתי אינו כולל מע״מ. מע״מ יתווסף כחוק.</v>
      </c>
      <c r="B30" s="51"/>
      <c r="C30" s="51"/>
      <c r="D30" s="51"/>
      <c r="E30" s="51"/>
      <c r="F30" s="40" t="s">
        <v>88</v>
      </c>
      <c r="G30" s="40"/>
      <c r="H30" s="40"/>
      <c r="I30" s="43" t="n">
        <f aca="false">I26</f>
        <v>0</v>
      </c>
    </row>
    <row r="31" customFormat="false" ht="19.5" hidden="false" customHeight="true" outlineLevel="0" collapsed="false">
      <c r="A31" s="51" t="str">
        <f aca="false">IF(הגדרות!$C$29="","","• "&amp;הגדרות!$C$29)</f>
        <v>• פרויקטים פרטיים מתומחרים בנפרד, לפי הזמנת החווה.</v>
      </c>
      <c r="B31" s="51"/>
      <c r="C31" s="51"/>
      <c r="D31" s="51"/>
      <c r="E31" s="51"/>
      <c r="F31" s="52" t="s">
        <v>89</v>
      </c>
      <c r="G31" s="52"/>
      <c r="H31" s="52"/>
      <c r="I31" s="53" t="n">
        <f aca="false">I29+I30</f>
        <v>1625</v>
      </c>
    </row>
    <row r="32" customFormat="false" ht="19.5" hidden="false" customHeight="true" outlineLevel="0" collapsed="false">
      <c r="A32" s="51" t="str">
        <f aca="false">IF(הגדרות!$C$30="","","• "&amp;הגדרות!$C$30)</f>
        <v/>
      </c>
      <c r="B32" s="51"/>
      <c r="C32" s="51"/>
      <c r="D32" s="51"/>
      <c r="E32" s="51"/>
      <c r="F32" s="40" t="str">
        <f aca="false">"מע״מ "&amp;ROUND(הגדרות!$C$25*100,1)&amp;"%"</f>
        <v>מע״מ 18%</v>
      </c>
      <c r="G32" s="40"/>
      <c r="H32" s="40"/>
      <c r="I32" s="43" t="n">
        <f aca="false">ROUND(I31*הגדרות!$C$25,2)</f>
        <v>292.5</v>
      </c>
    </row>
    <row r="33" customFormat="false" ht="24" hidden="false" customHeight="true" outlineLevel="0" collapsed="false">
      <c r="F33" s="54" t="s">
        <v>90</v>
      </c>
      <c r="G33" s="54"/>
      <c r="H33" s="54"/>
      <c r="I33" s="55" t="n">
        <f aca="false">I31+I32</f>
        <v>1917.5</v>
      </c>
    </row>
    <row r="36" customFormat="false" ht="15" hidden="false" customHeight="false" outlineLevel="0" collapsed="false">
      <c r="A36" s="56" t="str">
        <f aca="false">"בברכה, "&amp;הגדרות!$C$6</f>
        <v>בברכה, (למילוי)</v>
      </c>
      <c r="B36" s="56"/>
      <c r="C36" s="56"/>
      <c r="D36" s="56"/>
      <c r="F36" s="56" t="s">
        <v>91</v>
      </c>
      <c r="G36" s="56"/>
      <c r="H36" s="56"/>
      <c r="I36" s="56"/>
    </row>
  </sheetData>
  <mergeCells count="44">
    <mergeCell ref="A1:I1"/>
    <mergeCell ref="A2:I2"/>
    <mergeCell ref="A4:D4"/>
    <mergeCell ref="F4:I4"/>
    <mergeCell ref="A5:B5"/>
    <mergeCell ref="C5:D5"/>
    <mergeCell ref="F5:G5"/>
    <mergeCell ref="H5:I5"/>
    <mergeCell ref="A6:B6"/>
    <mergeCell ref="C6:D6"/>
    <mergeCell ref="F6:G6"/>
    <mergeCell ref="H6:I6"/>
    <mergeCell ref="A7:B7"/>
    <mergeCell ref="C7:D7"/>
    <mergeCell ref="F7:G7"/>
    <mergeCell ref="H7:I7"/>
    <mergeCell ref="A8:B8"/>
    <mergeCell ref="C8:D8"/>
    <mergeCell ref="A9:B9"/>
    <mergeCell ref="C9:D9"/>
    <mergeCell ref="A11:B11"/>
    <mergeCell ref="C11:D11"/>
    <mergeCell ref="F11:G11"/>
    <mergeCell ref="H11:I11"/>
    <mergeCell ref="A12:B12"/>
    <mergeCell ref="C12:D12"/>
    <mergeCell ref="F12:G12"/>
    <mergeCell ref="H12:I12"/>
    <mergeCell ref="A13:G13"/>
    <mergeCell ref="H13:I13"/>
    <mergeCell ref="A26:E26"/>
    <mergeCell ref="A28:D28"/>
    <mergeCell ref="F28:H28"/>
    <mergeCell ref="A29:E29"/>
    <mergeCell ref="F29:H29"/>
    <mergeCell ref="A30:E30"/>
    <mergeCell ref="F30:H30"/>
    <mergeCell ref="A31:E31"/>
    <mergeCell ref="F31:H31"/>
    <mergeCell ref="A32:E32"/>
    <mergeCell ref="F32:H32"/>
    <mergeCell ref="F33:H33"/>
    <mergeCell ref="A36:D36"/>
    <mergeCell ref="F36:I36"/>
  </mergeCells>
  <conditionalFormatting sqref="E15:E24">
    <cfRule type="expression" priority="2" aboveAverage="0" equalAverage="0" bottom="0" percent="0" rank="0" text="" dxfId="0">
      <formula>$B15=""</formula>
    </cfRule>
  </conditionalFormatting>
  <conditionalFormatting sqref="A15:G25">
    <cfRule type="expression" priority="3" aboveAverage="0" equalAverage="0" bottom="0" percent="0" rank="0" text="" dxfId="1">
      <formula>$E15="לא"</formula>
    </cfRule>
  </conditionalFormatting>
  <dataValidations count="1">
    <dataValidation allowBlank="true" errorStyle="stop" operator="between" showDropDown="false" showErrorMessage="false" showInputMessage="false" sqref="E15:E25" type="list">
      <formula1>"כן,לא"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true" outlineLevel="0" max="11" min="11" style="0" width="13"/>
  </cols>
  <sheetData>
    <row r="1" customFormat="false" ht="36" hidden="false" customHeight="true" outlineLevel="0" collapsed="false">
      <c r="A1" s="26" t="s">
        <v>67</v>
      </c>
      <c r="B1" s="26"/>
      <c r="C1" s="26"/>
      <c r="D1" s="26"/>
      <c r="E1" s="26"/>
      <c r="F1" s="26"/>
      <c r="G1" s="26"/>
      <c r="H1" s="26"/>
      <c r="I1" s="26"/>
      <c r="K1" s="27" t="n">
        <f aca="false">DATE(YEAR($H$11),MONTH($H$11),1)</f>
        <v>46327</v>
      </c>
    </row>
    <row r="2" customFormat="false" ht="24" hidden="false" customHeight="true" outlineLevel="0" collapsed="false">
      <c r="A2" s="28" t="str">
        <f aca="false">הגדרות!$C$17&amp;" · "&amp;CHOOSE(MONTH($K$1),"ינואר","פברואר","מרץ","אפריל","מאי","יוני","יולי","אוגוסט","ספטמבר","אוקטובר","נובמבר","דצמבר")&amp;" "&amp;YEAR($K$1)</f>
        <v>הדרכת שיקום · נובמבר 2026</v>
      </c>
      <c r="B2" s="28"/>
      <c r="C2" s="28"/>
      <c r="D2" s="28"/>
      <c r="E2" s="28"/>
      <c r="F2" s="28"/>
      <c r="G2" s="28"/>
      <c r="H2" s="28"/>
      <c r="I2" s="28"/>
      <c r="K2" s="27" t="n">
        <f aca="false">EOMONTH($K$1,0)</f>
        <v>46356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9" t="s">
        <v>68</v>
      </c>
      <c r="B4" s="29"/>
      <c r="C4" s="29"/>
      <c r="D4" s="29"/>
      <c r="F4" s="29" t="s">
        <v>69</v>
      </c>
      <c r="G4" s="29"/>
      <c r="H4" s="29"/>
      <c r="I4" s="29"/>
    </row>
    <row r="5" customFormat="false" ht="15" hidden="false" customHeight="false" outlineLevel="0" collapsed="false">
      <c r="A5" s="30" t="s">
        <v>28</v>
      </c>
      <c r="B5" s="30"/>
      <c r="C5" s="31" t="str">
        <f aca="false">הגדרות!$C$5</f>
        <v>הנגרייה</v>
      </c>
      <c r="D5" s="31"/>
      <c r="F5" s="30" t="s">
        <v>44</v>
      </c>
      <c r="G5" s="30"/>
      <c r="H5" s="31" t="str">
        <f aca="false">הגדרות!$C$12</f>
        <v>חוות רום</v>
      </c>
      <c r="I5" s="31"/>
    </row>
    <row r="6" customFormat="false" ht="15" hidden="false" customHeight="false" outlineLevel="0" collapsed="false">
      <c r="A6" s="30" t="s">
        <v>31</v>
      </c>
      <c r="B6" s="30"/>
      <c r="C6" s="31" t="str">
        <f aca="false">הגדרות!$C$6</f>
        <v>(למילוי)</v>
      </c>
      <c r="D6" s="31"/>
      <c r="F6" s="30" t="s">
        <v>46</v>
      </c>
      <c r="G6" s="30"/>
      <c r="H6" s="31" t="str">
        <f aca="false">הגדרות!$C$13</f>
        <v>הר כמון</v>
      </c>
      <c r="I6" s="31"/>
    </row>
    <row r="7" customFormat="false" ht="15" hidden="false" customHeight="false" outlineLevel="0" collapsed="false">
      <c r="A7" s="30" t="s">
        <v>70</v>
      </c>
      <c r="B7" s="30"/>
      <c r="C7" s="31" t="str">
        <f aca="false">הגדרות!$C$7</f>
        <v>(למילוי)</v>
      </c>
      <c r="D7" s="31"/>
      <c r="F7" s="30" t="s">
        <v>48</v>
      </c>
      <c r="G7" s="30"/>
      <c r="H7" s="31" t="str">
        <f aca="false">הגדרות!$C$14</f>
        <v>(למילוי)</v>
      </c>
      <c r="I7" s="31"/>
    </row>
    <row r="8" customFormat="false" ht="15" hidden="false" customHeight="false" outlineLevel="0" collapsed="false">
      <c r="A8" s="30" t="s">
        <v>36</v>
      </c>
      <c r="B8" s="30"/>
      <c r="C8" s="31" t="str">
        <f aca="false">הגדרות!$C$8</f>
        <v>(למילוי)</v>
      </c>
      <c r="D8" s="31"/>
    </row>
    <row r="9" customFormat="false" ht="15" hidden="false" customHeight="false" outlineLevel="0" collapsed="false">
      <c r="A9" s="30" t="s">
        <v>38</v>
      </c>
      <c r="B9" s="30"/>
      <c r="C9" s="31" t="str">
        <f aca="false">הגדרות!$C$9</f>
        <v>nettaamit21@gmail.com</v>
      </c>
      <c r="D9" s="31"/>
    </row>
    <row r="10" customFormat="false" ht="9.75" hidden="false" customHeight="true" outlineLevel="0" collapsed="false"/>
    <row r="11" customFormat="false" ht="15" hidden="false" customHeight="false" outlineLevel="0" collapsed="false">
      <c r="A11" s="30" t="s">
        <v>71</v>
      </c>
      <c r="B11" s="30"/>
      <c r="C11" s="31" t="str">
        <f aca="false">YEAR($K$1)&amp;"-"&amp;TEXT(MONTH($K$1),"00")</f>
        <v>2026-11</v>
      </c>
      <c r="D11" s="31"/>
      <c r="F11" s="30" t="s">
        <v>72</v>
      </c>
      <c r="G11" s="30"/>
      <c r="H11" s="32" t="n">
        <v>46327</v>
      </c>
      <c r="I11" s="32"/>
    </row>
    <row r="12" customFormat="false" ht="15" hidden="false" customHeight="false" outlineLevel="0" collapsed="false">
      <c r="A12" s="30" t="s">
        <v>73</v>
      </c>
      <c r="B12" s="30"/>
      <c r="C12" s="33" t="n">
        <f aca="false">$K$2</f>
        <v>46356</v>
      </c>
      <c r="D12" s="33"/>
      <c r="F12" s="30" t="s">
        <v>74</v>
      </c>
      <c r="G12" s="30"/>
      <c r="H12" s="31" t="str">
        <f aca="false">הגדרות!$C$18&amp;" ו"&amp;הגדרות!$C$19&amp;", "&amp;TEXT(HOUR(הגדרות!$C$20),"00")&amp;":"&amp;TEXT(MINUTE(הגדרות!$C$20),"00")&amp;"–"&amp;TEXT(HOUR(הגדרות!$C$21),"00")&amp;":"&amp;TEXT(MINUTE(הגדרות!$C$21),"00")</f>
        <v>ראשון וחמישי, 09:00–12:30</v>
      </c>
      <c r="I12" s="31"/>
    </row>
    <row r="13" customFormat="false" ht="19.5" hidden="false" customHeight="true" outlineLevel="0" collapsed="false">
      <c r="A13" s="34" t="s">
        <v>75</v>
      </c>
      <c r="B13" s="34"/>
      <c r="C13" s="34"/>
      <c r="D13" s="34"/>
      <c r="E13" s="34"/>
      <c r="F13" s="34"/>
      <c r="G13" s="34"/>
      <c r="H13" s="35" t="s">
        <v>76</v>
      </c>
      <c r="I13" s="35"/>
    </row>
    <row r="14" customFormat="false" ht="27.75" hidden="false" customHeight="true" outlineLevel="0" collapsed="false">
      <c r="A14" s="36" t="s">
        <v>77</v>
      </c>
      <c r="B14" s="36" t="s">
        <v>73</v>
      </c>
      <c r="C14" s="36" t="s">
        <v>78</v>
      </c>
      <c r="D14" s="36" t="s">
        <v>79</v>
      </c>
      <c r="E14" s="36" t="s">
        <v>80</v>
      </c>
      <c r="F14" s="36" t="s">
        <v>81</v>
      </c>
      <c r="G14" s="36" t="s">
        <v>82</v>
      </c>
      <c r="H14" s="37" t="s">
        <v>21</v>
      </c>
      <c r="I14" s="37" t="s">
        <v>22</v>
      </c>
    </row>
    <row r="15" customFormat="false" ht="19.5" hidden="false" customHeight="true" outlineLevel="0" collapsed="false">
      <c r="A15" s="38" t="n">
        <f aca="false">IF(B15="","",ROW()-14)</f>
        <v>1</v>
      </c>
      <c r="B15" s="39" t="n">
        <f aca="false">$K$1+MIN(MOD(הגדרות!$D$18-WEEKDAY($K$1),7),MOD(הגדרות!$D$19-WEEKDAY($K$1),7))</f>
        <v>46327</v>
      </c>
      <c r="C15" s="38" t="str">
        <f aca="false">IF(B15="","",INDEX(הגדרות!$F$5:$F$11,WEEKDAY(B15)))</f>
        <v>ראשון</v>
      </c>
      <c r="D15" s="40" t="str">
        <f aca="false">IF(B15="","","הדרכה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5" s="41" t="s">
        <v>83</v>
      </c>
      <c r="F15" s="42" t="n">
        <f aca="false">IF(B15="","",IF(E15="לא",0,הגדרות!$C$22))</f>
        <v>3.5</v>
      </c>
      <c r="G15" s="43" t="n">
        <f aca="false">IF(B15="","",F15*הגדרות!$C$24)</f>
        <v>175</v>
      </c>
      <c r="H15" s="44"/>
      <c r="I15" s="45"/>
      <c r="K15" s="27" t="n">
        <f aca="false">IF(B15="","",B15+MIN(MOD(הגדרות!$D$18-WEEKDAY(B15)-1,7)+1,MOD(הגדרות!$D$19-WEEKDAY(B15)-1,7)+1))</f>
        <v>46331</v>
      </c>
    </row>
    <row r="16" customFormat="false" ht="19.5" hidden="false" customHeight="true" outlineLevel="0" collapsed="false">
      <c r="A16" s="38" t="n">
        <f aca="false">IF(B16="","",ROW()-14)</f>
        <v>2</v>
      </c>
      <c r="B16" s="39" t="n">
        <f aca="false">IF(K15="","",IF(K15&gt;$K$2,"",K15))</f>
        <v>46331</v>
      </c>
      <c r="C16" s="38" t="str">
        <f aca="false">IF(B16="","",INDEX(הגדרות!$F$5:$F$11,WEEKDAY(B16)))</f>
        <v>חמישי</v>
      </c>
      <c r="D16" s="40" t="str">
        <f aca="false">IF(B16="","","הדרכה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6" s="41" t="s">
        <v>83</v>
      </c>
      <c r="F16" s="42" t="n">
        <f aca="false">IF(B16="","",IF(E16="לא",0,הגדרות!$C$22))</f>
        <v>3.5</v>
      </c>
      <c r="G16" s="43" t="n">
        <f aca="false">IF(B16="","",F16*הגדרות!$C$24)</f>
        <v>175</v>
      </c>
      <c r="H16" s="44"/>
      <c r="I16" s="45"/>
      <c r="K16" s="27" t="n">
        <f aca="false">IF(B16="","",B16+MIN(MOD(הגדרות!$D$18-WEEKDAY(B16)-1,7)+1,MOD(הגדרות!$D$19-WEEKDAY(B16)-1,7)+1))</f>
        <v>46334</v>
      </c>
    </row>
    <row r="17" customFormat="false" ht="19.5" hidden="false" customHeight="true" outlineLevel="0" collapsed="false">
      <c r="A17" s="38" t="n">
        <f aca="false">IF(B17="","",ROW()-14)</f>
        <v>3</v>
      </c>
      <c r="B17" s="39" t="n">
        <f aca="false">IF(K16="","",IF(K16&gt;$K$2,"",K16))</f>
        <v>46334</v>
      </c>
      <c r="C17" s="38" t="str">
        <f aca="false">IF(B17="","",INDEX(הגדרות!$F$5:$F$11,WEEKDAY(B17)))</f>
        <v>ראשון</v>
      </c>
      <c r="D17" s="40" t="str">
        <f aca="false">IF(B17="","","הדרכה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7" s="41" t="s">
        <v>83</v>
      </c>
      <c r="F17" s="42" t="n">
        <f aca="false">IF(B17="","",IF(E17="לא",0,הגדרות!$C$22))</f>
        <v>3.5</v>
      </c>
      <c r="G17" s="43" t="n">
        <f aca="false">IF(B17="","",F17*הגדרות!$C$24)</f>
        <v>175</v>
      </c>
      <c r="H17" s="44"/>
      <c r="I17" s="45"/>
      <c r="K17" s="27" t="n">
        <f aca="false">IF(B17="","",B17+MIN(MOD(הגדרות!$D$18-WEEKDAY(B17)-1,7)+1,MOD(הגדרות!$D$19-WEEKDAY(B17)-1,7)+1))</f>
        <v>46338</v>
      </c>
    </row>
    <row r="18" customFormat="false" ht="19.5" hidden="false" customHeight="true" outlineLevel="0" collapsed="false">
      <c r="A18" s="38" t="n">
        <f aca="false">IF(B18="","",ROW()-14)</f>
        <v>4</v>
      </c>
      <c r="B18" s="39" t="n">
        <f aca="false">IF(K17="","",IF(K17&gt;$K$2,"",K17))</f>
        <v>46338</v>
      </c>
      <c r="C18" s="38" t="str">
        <f aca="false">IF(B18="","",INDEX(הגדרות!$F$5:$F$11,WEEKDAY(B18)))</f>
        <v>חמישי</v>
      </c>
      <c r="D18" s="40" t="str">
        <f aca="false">IF(B18="","","הדרכה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8" s="41" t="s">
        <v>83</v>
      </c>
      <c r="F18" s="42" t="n">
        <f aca="false">IF(B18="","",IF(E18="לא",0,הגדרות!$C$22))</f>
        <v>3.5</v>
      </c>
      <c r="G18" s="43" t="n">
        <f aca="false">IF(B18="","",F18*הגדרות!$C$24)</f>
        <v>175</v>
      </c>
      <c r="H18" s="44"/>
      <c r="I18" s="45"/>
      <c r="K18" s="27" t="n">
        <f aca="false">IF(B18="","",B18+MIN(MOD(הגדרות!$D$18-WEEKDAY(B18)-1,7)+1,MOD(הגדרות!$D$19-WEEKDAY(B18)-1,7)+1))</f>
        <v>46341</v>
      </c>
    </row>
    <row r="19" customFormat="false" ht="19.5" hidden="false" customHeight="true" outlineLevel="0" collapsed="false">
      <c r="A19" s="38" t="n">
        <f aca="false">IF(B19="","",ROW()-14)</f>
        <v>5</v>
      </c>
      <c r="B19" s="39" t="n">
        <f aca="false">IF(K18="","",IF(K18&gt;$K$2,"",K18))</f>
        <v>46341</v>
      </c>
      <c r="C19" s="38" t="str">
        <f aca="false">IF(B19="","",INDEX(הגדרות!$F$5:$F$11,WEEKDAY(B19)))</f>
        <v>ראשון</v>
      </c>
      <c r="D19" s="40" t="str">
        <f aca="false">IF(B19="","","הדרכה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9" s="41" t="s">
        <v>83</v>
      </c>
      <c r="F19" s="42" t="n">
        <f aca="false">IF(B19="","",IF(E19="לא",0,הגדרות!$C$22))</f>
        <v>3.5</v>
      </c>
      <c r="G19" s="43" t="n">
        <f aca="false">IF(B19="","",F19*הגדרות!$C$24)</f>
        <v>175</v>
      </c>
      <c r="H19" s="44"/>
      <c r="I19" s="45"/>
      <c r="K19" s="27" t="n">
        <f aca="false">IF(B19="","",B19+MIN(MOD(הגדרות!$D$18-WEEKDAY(B19)-1,7)+1,MOD(הגדרות!$D$19-WEEKDAY(B19)-1,7)+1))</f>
        <v>46345</v>
      </c>
    </row>
    <row r="20" customFormat="false" ht="19.5" hidden="false" customHeight="true" outlineLevel="0" collapsed="false">
      <c r="A20" s="38" t="n">
        <f aca="false">IF(B20="","",ROW()-14)</f>
        <v>6</v>
      </c>
      <c r="B20" s="39" t="n">
        <f aca="false">IF(K19="","",IF(K19&gt;$K$2,"",K19))</f>
        <v>46345</v>
      </c>
      <c r="C20" s="38" t="str">
        <f aca="false">IF(B20="","",INDEX(הגדרות!$F$5:$F$11,WEEKDAY(B20)))</f>
        <v>חמישי</v>
      </c>
      <c r="D20" s="40" t="str">
        <f aca="false">IF(B20="","","הדרכה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0" s="41" t="s">
        <v>83</v>
      </c>
      <c r="F20" s="42" t="n">
        <f aca="false">IF(B20="","",IF(E20="לא",0,הגדרות!$C$22))</f>
        <v>3.5</v>
      </c>
      <c r="G20" s="43" t="n">
        <f aca="false">IF(B20="","",F20*הגדרות!$C$24)</f>
        <v>175</v>
      </c>
      <c r="H20" s="44"/>
      <c r="I20" s="45"/>
      <c r="K20" s="27" t="n">
        <f aca="false">IF(B20="","",B20+MIN(MOD(הגדרות!$D$18-WEEKDAY(B20)-1,7)+1,MOD(הגדרות!$D$19-WEEKDAY(B20)-1,7)+1))</f>
        <v>46348</v>
      </c>
    </row>
    <row r="21" customFormat="false" ht="19.5" hidden="false" customHeight="true" outlineLevel="0" collapsed="false">
      <c r="A21" s="38" t="n">
        <f aca="false">IF(B21="","",ROW()-14)</f>
        <v>7</v>
      </c>
      <c r="B21" s="39" t="n">
        <f aca="false">IF(K20="","",IF(K20&gt;$K$2,"",K20))</f>
        <v>46348</v>
      </c>
      <c r="C21" s="38" t="str">
        <f aca="false">IF(B21="","",INDEX(הגדרות!$F$5:$F$11,WEEKDAY(B21)))</f>
        <v>ראשון</v>
      </c>
      <c r="D21" s="40" t="str">
        <f aca="false">IF(B21="","","הדרכה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1" s="41" t="s">
        <v>83</v>
      </c>
      <c r="F21" s="42" t="n">
        <f aca="false">IF(B21="","",IF(E21="לא",0,הגדרות!$C$22))</f>
        <v>3.5</v>
      </c>
      <c r="G21" s="43" t="n">
        <f aca="false">IF(B21="","",F21*הגדרות!$C$24)</f>
        <v>175</v>
      </c>
      <c r="H21" s="44"/>
      <c r="I21" s="45"/>
      <c r="K21" s="27" t="n">
        <f aca="false">IF(B21="","",B21+MIN(MOD(הגדרות!$D$18-WEEKDAY(B21)-1,7)+1,MOD(הגדרות!$D$19-WEEKDAY(B21)-1,7)+1))</f>
        <v>46352</v>
      </c>
    </row>
    <row r="22" customFormat="false" ht="19.5" hidden="false" customHeight="true" outlineLevel="0" collapsed="false">
      <c r="A22" s="38" t="n">
        <f aca="false">IF(B22="","",ROW()-14)</f>
        <v>8</v>
      </c>
      <c r="B22" s="39" t="n">
        <f aca="false">IF(K21="","",IF(K21&gt;$K$2,"",K21))</f>
        <v>46352</v>
      </c>
      <c r="C22" s="38" t="str">
        <f aca="false">IF(B22="","",INDEX(הגדרות!$F$5:$F$11,WEEKDAY(B22)))</f>
        <v>חמישי</v>
      </c>
      <c r="D22" s="40" t="str">
        <f aca="false">IF(B22="","","הדרכה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2" s="41" t="s">
        <v>83</v>
      </c>
      <c r="F22" s="42" t="n">
        <f aca="false">IF(B22="","",IF(E22="לא",0,הגדרות!$C$22))</f>
        <v>3.5</v>
      </c>
      <c r="G22" s="43" t="n">
        <f aca="false">IF(B22="","",F22*הגדרות!$C$24)</f>
        <v>175</v>
      </c>
      <c r="H22" s="44"/>
      <c r="I22" s="45"/>
      <c r="K22" s="27" t="n">
        <f aca="false">IF(B22="","",B22+MIN(MOD(הגדרות!$D$18-WEEKDAY(B22)-1,7)+1,MOD(הגדרות!$D$19-WEEKDAY(B22)-1,7)+1))</f>
        <v>46355</v>
      </c>
    </row>
    <row r="23" customFormat="false" ht="19.5" hidden="false" customHeight="true" outlineLevel="0" collapsed="false">
      <c r="A23" s="38" t="n">
        <f aca="false">IF(B23="","",ROW()-14)</f>
        <v>9</v>
      </c>
      <c r="B23" s="39" t="n">
        <f aca="false">IF(K22="","",IF(K22&gt;$K$2,"",K22))</f>
        <v>46355</v>
      </c>
      <c r="C23" s="38" t="str">
        <f aca="false">IF(B23="","",INDEX(הגדרות!$F$5:$F$11,WEEKDAY(B23)))</f>
        <v>ראשון</v>
      </c>
      <c r="D23" s="40" t="str">
        <f aca="false">IF(B23="","","הדרכה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3" s="41" t="s">
        <v>83</v>
      </c>
      <c r="F23" s="42" t="n">
        <f aca="false">IF(B23="","",IF(E23="לא",0,הגדרות!$C$22))</f>
        <v>3.5</v>
      </c>
      <c r="G23" s="43" t="n">
        <f aca="false">IF(B23="","",F23*הגדרות!$C$24)</f>
        <v>175</v>
      </c>
      <c r="H23" s="44"/>
      <c r="I23" s="45"/>
      <c r="K23" s="27" t="n">
        <f aca="false">IF(B23="","",B23+MIN(MOD(הגדרות!$D$18-WEEKDAY(B23)-1,7)+1,MOD(הגדרות!$D$19-WEEKDAY(B23)-1,7)+1))</f>
        <v>46359</v>
      </c>
    </row>
    <row r="24" customFormat="false" ht="19.5" hidden="false" customHeight="true" outlineLevel="0" collapsed="false">
      <c r="A24" s="38" t="str">
        <f aca="false">IF(B24="","",ROW()-14)</f>
        <v/>
      </c>
      <c r="B24" s="39" t="str">
        <f aca="false">IF(K23="","",IF(K23&gt;$K$2,"",K23))</f>
        <v/>
      </c>
      <c r="C24" s="38" t="str">
        <f aca="false">IF(B24="","",INDEX(הגדרות!$F$5:$F$11,WEEKDAY(B24)))</f>
        <v/>
      </c>
      <c r="D24" s="40" t="str">
        <f aca="false">IF(B24="","","הדרכה "&amp;TEXT(HOUR(הגדרות!$C$20),"00")&amp;":"&amp;TEXT(MINUTE(הגדרות!$C$20),"00")&amp;"–"&amp;TEXT(HOUR(הגדרות!$C$21),"00")&amp;":"&amp;TEXT(MINUTE(הגדרות!$C$21),"00"))</f>
        <v/>
      </c>
      <c r="E24" s="41" t="s">
        <v>83</v>
      </c>
      <c r="F24" s="42" t="str">
        <f aca="false">IF(B24="","",IF(E24="לא",0,הגדרות!$C$22))</f>
        <v/>
      </c>
      <c r="G24" s="43" t="str">
        <f aca="false">IF(B24="","",F24*הגדרות!$C$24)</f>
        <v/>
      </c>
      <c r="H24" s="44"/>
      <c r="I24" s="45"/>
      <c r="K24" s="27" t="str">
        <f aca="false">IF(B24="","",B24+MIN(MOD(הגדרות!$D$18-WEEKDAY(B24)-1,7)+1,MOD(הגדרות!$D$19-WEEKDAY(B24)-1,7)+1))</f>
        <v/>
      </c>
    </row>
    <row r="25" customFormat="false" ht="19.5" hidden="false" customHeight="true" outlineLevel="0" collapsed="false">
      <c r="A25" s="38" t="n">
        <f aca="false">COUNT($B$15:$B$24)+1</f>
        <v>10</v>
      </c>
      <c r="B25" s="46"/>
      <c r="C25" s="38" t="str">
        <f aca="false">IF(B25="","",INDEX(הגדרות!$F$5:$F$11,WEEKDAY(B25)))</f>
        <v/>
      </c>
      <c r="D25" s="40" t="s">
        <v>84</v>
      </c>
      <c r="E25" s="41" t="s">
        <v>83</v>
      </c>
      <c r="F25" s="42" t="n">
        <f aca="false">IF(E25="לא",0,הגדרות!$C$23)</f>
        <v>1</v>
      </c>
      <c r="G25" s="43" t="n">
        <f aca="false">F25*הגדרות!$C$24</f>
        <v>50</v>
      </c>
      <c r="H25" s="44"/>
      <c r="I25" s="45"/>
      <c r="K25" s="27"/>
    </row>
    <row r="26" customFormat="false" ht="21.75" hidden="false" customHeight="true" outlineLevel="0" collapsed="false">
      <c r="A26" s="47" t="s">
        <v>85</v>
      </c>
      <c r="B26" s="47"/>
      <c r="C26" s="47"/>
      <c r="D26" s="47"/>
      <c r="E26" s="47"/>
      <c r="F26" s="48" t="n">
        <f aca="false">SUM(F15:F25)</f>
        <v>32.5</v>
      </c>
      <c r="G26" s="49" t="n">
        <f aca="false">SUM(G15:G25)</f>
        <v>1625</v>
      </c>
      <c r="H26" s="47"/>
      <c r="I26" s="49" t="n">
        <f aca="false">SUM(I15:I25)</f>
        <v>0</v>
      </c>
    </row>
    <row r="28" customFormat="false" ht="19.5" hidden="false" customHeight="true" outlineLevel="0" collapsed="false">
      <c r="A28" s="50" t="s">
        <v>86</v>
      </c>
      <c r="B28" s="50"/>
      <c r="C28" s="50"/>
      <c r="D28" s="50"/>
      <c r="F28" s="40" t="s">
        <v>87</v>
      </c>
      <c r="G28" s="40"/>
      <c r="H28" s="40"/>
      <c r="I28" s="42" t="n">
        <f aca="false">F26</f>
        <v>32.5</v>
      </c>
    </row>
    <row r="29" customFormat="false" ht="30" hidden="false" customHeight="true" outlineLevel="0" collapsed="false">
      <c r="A29" s="51" t="str">
        <f aca="false">"• "&amp;הגדרות!$C$17&amp;": ימי "&amp;הגדרות!$C$18&amp;" ו"&amp;הגדרות!$C$19&amp;", "&amp;TEXT(HOUR(הגדרות!$C$20),"00")&amp;":"&amp;TEXT(MINUTE(הגדרות!$C$20),"00")&amp;"–"&amp;TEXT(HOUR(הגדרות!$C$21),"00")&amp;":"&amp;TEXT(MINUTE(הגדרות!$C$21),"00")&amp;" ("&amp;הגדרות!$C$22&amp;" שעות ליום), וישיבת צוות חודשית ("&amp;הגדרות!$C$23&amp;" ש׳)."</f>
        <v>• הדרכת שיקום: ימי ראשון וחמישי, 09:00–12:30 (3.5 שעות ליום), וישיבת צוות חודשית (1 ש׳).</v>
      </c>
      <c r="B29" s="51"/>
      <c r="C29" s="51"/>
      <c r="D29" s="51"/>
      <c r="E29" s="51"/>
      <c r="F29" s="40" t="str">
        <f aca="false">"הדרכת שיקום ("&amp;TEXT(F26,"0.0")&amp;" שעות × "&amp;הגדרות!$C$24&amp;" ₪)"</f>
        <v>הדרכת שיקום (32.5 שעות × 50 ₪)</v>
      </c>
      <c r="G29" s="40"/>
      <c r="H29" s="40"/>
      <c r="I29" s="43" t="n">
        <f aca="false">G26</f>
        <v>1625</v>
      </c>
    </row>
    <row r="30" customFormat="false" ht="19.5" hidden="false" customHeight="true" outlineLevel="0" collapsed="false">
      <c r="A30" s="51" t="str">
        <f aca="false">IF(הגדרות!$C$28="","","• "&amp;הגדרות!$C$28)</f>
        <v>• התעריף השעתי אינו כולל מע״מ. מע״מ יתווסף כחוק.</v>
      </c>
      <c r="B30" s="51"/>
      <c r="C30" s="51"/>
      <c r="D30" s="51"/>
      <c r="E30" s="51"/>
      <c r="F30" s="40" t="s">
        <v>88</v>
      </c>
      <c r="G30" s="40"/>
      <c r="H30" s="40"/>
      <c r="I30" s="43" t="n">
        <f aca="false">I26</f>
        <v>0</v>
      </c>
    </row>
    <row r="31" customFormat="false" ht="19.5" hidden="false" customHeight="true" outlineLevel="0" collapsed="false">
      <c r="A31" s="51" t="str">
        <f aca="false">IF(הגדרות!$C$29="","","• "&amp;הגדרות!$C$29)</f>
        <v>• פרויקטים פרטיים מתומחרים בנפרד, לפי הזמנת החווה.</v>
      </c>
      <c r="B31" s="51"/>
      <c r="C31" s="51"/>
      <c r="D31" s="51"/>
      <c r="E31" s="51"/>
      <c r="F31" s="52" t="s">
        <v>89</v>
      </c>
      <c r="G31" s="52"/>
      <c r="H31" s="52"/>
      <c r="I31" s="53" t="n">
        <f aca="false">I29+I30</f>
        <v>1625</v>
      </c>
    </row>
    <row r="32" customFormat="false" ht="19.5" hidden="false" customHeight="true" outlineLevel="0" collapsed="false">
      <c r="A32" s="51" t="str">
        <f aca="false">IF(הגדרות!$C$30="","","• "&amp;הגדרות!$C$30)</f>
        <v/>
      </c>
      <c r="B32" s="51"/>
      <c r="C32" s="51"/>
      <c r="D32" s="51"/>
      <c r="E32" s="51"/>
      <c r="F32" s="40" t="str">
        <f aca="false">"מע״מ "&amp;ROUND(הגדרות!$C$25*100,1)&amp;"%"</f>
        <v>מע״מ 18%</v>
      </c>
      <c r="G32" s="40"/>
      <c r="H32" s="40"/>
      <c r="I32" s="43" t="n">
        <f aca="false">ROUND(I31*הגדרות!$C$25,2)</f>
        <v>292.5</v>
      </c>
    </row>
    <row r="33" customFormat="false" ht="24" hidden="false" customHeight="true" outlineLevel="0" collapsed="false">
      <c r="F33" s="54" t="s">
        <v>90</v>
      </c>
      <c r="G33" s="54"/>
      <c r="H33" s="54"/>
      <c r="I33" s="55" t="n">
        <f aca="false">I31+I32</f>
        <v>1917.5</v>
      </c>
    </row>
    <row r="36" customFormat="false" ht="15" hidden="false" customHeight="false" outlineLevel="0" collapsed="false">
      <c r="A36" s="56" t="str">
        <f aca="false">"בברכה, "&amp;הגדרות!$C$6</f>
        <v>בברכה, (למילוי)</v>
      </c>
      <c r="B36" s="56"/>
      <c r="C36" s="56"/>
      <c r="D36" s="56"/>
      <c r="F36" s="56" t="s">
        <v>91</v>
      </c>
      <c r="G36" s="56"/>
      <c r="H36" s="56"/>
      <c r="I36" s="56"/>
    </row>
  </sheetData>
  <mergeCells count="44">
    <mergeCell ref="A1:I1"/>
    <mergeCell ref="A2:I2"/>
    <mergeCell ref="A4:D4"/>
    <mergeCell ref="F4:I4"/>
    <mergeCell ref="A5:B5"/>
    <mergeCell ref="C5:D5"/>
    <mergeCell ref="F5:G5"/>
    <mergeCell ref="H5:I5"/>
    <mergeCell ref="A6:B6"/>
    <mergeCell ref="C6:D6"/>
    <mergeCell ref="F6:G6"/>
    <mergeCell ref="H6:I6"/>
    <mergeCell ref="A7:B7"/>
    <mergeCell ref="C7:D7"/>
    <mergeCell ref="F7:G7"/>
    <mergeCell ref="H7:I7"/>
    <mergeCell ref="A8:B8"/>
    <mergeCell ref="C8:D8"/>
    <mergeCell ref="A9:B9"/>
    <mergeCell ref="C9:D9"/>
    <mergeCell ref="A11:B11"/>
    <mergeCell ref="C11:D11"/>
    <mergeCell ref="F11:G11"/>
    <mergeCell ref="H11:I11"/>
    <mergeCell ref="A12:B12"/>
    <mergeCell ref="C12:D12"/>
    <mergeCell ref="F12:G12"/>
    <mergeCell ref="H12:I12"/>
    <mergeCell ref="A13:G13"/>
    <mergeCell ref="H13:I13"/>
    <mergeCell ref="A26:E26"/>
    <mergeCell ref="A28:D28"/>
    <mergeCell ref="F28:H28"/>
    <mergeCell ref="A29:E29"/>
    <mergeCell ref="F29:H29"/>
    <mergeCell ref="A30:E30"/>
    <mergeCell ref="F30:H30"/>
    <mergeCell ref="A31:E31"/>
    <mergeCell ref="F31:H31"/>
    <mergeCell ref="A32:E32"/>
    <mergeCell ref="F32:H32"/>
    <mergeCell ref="F33:H33"/>
    <mergeCell ref="A36:D36"/>
    <mergeCell ref="F36:I36"/>
  </mergeCells>
  <conditionalFormatting sqref="E15:E24">
    <cfRule type="expression" priority="2" aboveAverage="0" equalAverage="0" bottom="0" percent="0" rank="0" text="" dxfId="0">
      <formula>$B15=""</formula>
    </cfRule>
  </conditionalFormatting>
  <conditionalFormatting sqref="A15:G25">
    <cfRule type="expression" priority="3" aboveAverage="0" equalAverage="0" bottom="0" percent="0" rank="0" text="" dxfId="1">
      <formula>$E15="לא"</formula>
    </cfRule>
  </conditionalFormatting>
  <dataValidations count="1">
    <dataValidation allowBlank="true" errorStyle="stop" operator="between" showDropDown="false" showErrorMessage="false" showInputMessage="false" sqref="E15:E25" type="list">
      <formula1>"כן,לא"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true" outlineLevel="0" max="11" min="11" style="0" width="13"/>
  </cols>
  <sheetData>
    <row r="1" customFormat="false" ht="36" hidden="false" customHeight="true" outlineLevel="0" collapsed="false">
      <c r="A1" s="26" t="s">
        <v>67</v>
      </c>
      <c r="B1" s="26"/>
      <c r="C1" s="26"/>
      <c r="D1" s="26"/>
      <c r="E1" s="26"/>
      <c r="F1" s="26"/>
      <c r="G1" s="26"/>
      <c r="H1" s="26"/>
      <c r="I1" s="26"/>
      <c r="K1" s="27" t="n">
        <f aca="false">DATE(YEAR($H$11),MONTH($H$11),1)</f>
        <v>46357</v>
      </c>
    </row>
    <row r="2" customFormat="false" ht="24" hidden="false" customHeight="true" outlineLevel="0" collapsed="false">
      <c r="A2" s="28" t="str">
        <f aca="false">הגדרות!$C$17&amp;" · "&amp;CHOOSE(MONTH($K$1),"ינואר","פברואר","מרץ","אפריל","מאי","יוני","יולי","אוגוסט","ספטמבר","אוקטובר","נובמבר","דצמבר")&amp;" "&amp;YEAR($K$1)</f>
        <v>הדרכת שיקום · דצמבר 2026</v>
      </c>
      <c r="B2" s="28"/>
      <c r="C2" s="28"/>
      <c r="D2" s="28"/>
      <c r="E2" s="28"/>
      <c r="F2" s="28"/>
      <c r="G2" s="28"/>
      <c r="H2" s="28"/>
      <c r="I2" s="28"/>
      <c r="K2" s="27" t="n">
        <f aca="false">EOMONTH($K$1,0)</f>
        <v>46387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9" t="s">
        <v>68</v>
      </c>
      <c r="B4" s="29"/>
      <c r="C4" s="29"/>
      <c r="D4" s="29"/>
      <c r="F4" s="29" t="s">
        <v>69</v>
      </c>
      <c r="G4" s="29"/>
      <c r="H4" s="29"/>
      <c r="I4" s="29"/>
    </row>
    <row r="5" customFormat="false" ht="15" hidden="false" customHeight="false" outlineLevel="0" collapsed="false">
      <c r="A5" s="30" t="s">
        <v>28</v>
      </c>
      <c r="B5" s="30"/>
      <c r="C5" s="31" t="str">
        <f aca="false">הגדרות!$C$5</f>
        <v>הנגרייה</v>
      </c>
      <c r="D5" s="31"/>
      <c r="F5" s="30" t="s">
        <v>44</v>
      </c>
      <c r="G5" s="30"/>
      <c r="H5" s="31" t="str">
        <f aca="false">הגדרות!$C$12</f>
        <v>חוות רום</v>
      </c>
      <c r="I5" s="31"/>
    </row>
    <row r="6" customFormat="false" ht="15" hidden="false" customHeight="false" outlineLevel="0" collapsed="false">
      <c r="A6" s="30" t="s">
        <v>31</v>
      </c>
      <c r="B6" s="30"/>
      <c r="C6" s="31" t="str">
        <f aca="false">הגדרות!$C$6</f>
        <v>(למילוי)</v>
      </c>
      <c r="D6" s="31"/>
      <c r="F6" s="30" t="s">
        <v>46</v>
      </c>
      <c r="G6" s="30"/>
      <c r="H6" s="31" t="str">
        <f aca="false">הגדרות!$C$13</f>
        <v>הר כמון</v>
      </c>
      <c r="I6" s="31"/>
    </row>
    <row r="7" customFormat="false" ht="15" hidden="false" customHeight="false" outlineLevel="0" collapsed="false">
      <c r="A7" s="30" t="s">
        <v>70</v>
      </c>
      <c r="B7" s="30"/>
      <c r="C7" s="31" t="str">
        <f aca="false">הגדרות!$C$7</f>
        <v>(למילוי)</v>
      </c>
      <c r="D7" s="31"/>
      <c r="F7" s="30" t="s">
        <v>48</v>
      </c>
      <c r="G7" s="30"/>
      <c r="H7" s="31" t="str">
        <f aca="false">הגדרות!$C$14</f>
        <v>(למילוי)</v>
      </c>
      <c r="I7" s="31"/>
    </row>
    <row r="8" customFormat="false" ht="15" hidden="false" customHeight="false" outlineLevel="0" collapsed="false">
      <c r="A8" s="30" t="s">
        <v>36</v>
      </c>
      <c r="B8" s="30"/>
      <c r="C8" s="31" t="str">
        <f aca="false">הגדרות!$C$8</f>
        <v>(למילוי)</v>
      </c>
      <c r="D8" s="31"/>
    </row>
    <row r="9" customFormat="false" ht="15" hidden="false" customHeight="false" outlineLevel="0" collapsed="false">
      <c r="A9" s="30" t="s">
        <v>38</v>
      </c>
      <c r="B9" s="30"/>
      <c r="C9" s="31" t="str">
        <f aca="false">הגדרות!$C$9</f>
        <v>nettaamit21@gmail.com</v>
      </c>
      <c r="D9" s="31"/>
    </row>
    <row r="10" customFormat="false" ht="9.75" hidden="false" customHeight="true" outlineLevel="0" collapsed="false"/>
    <row r="11" customFormat="false" ht="15" hidden="false" customHeight="false" outlineLevel="0" collapsed="false">
      <c r="A11" s="30" t="s">
        <v>71</v>
      </c>
      <c r="B11" s="30"/>
      <c r="C11" s="31" t="str">
        <f aca="false">YEAR($K$1)&amp;"-"&amp;TEXT(MONTH($K$1),"00")</f>
        <v>2026-12</v>
      </c>
      <c r="D11" s="31"/>
      <c r="F11" s="30" t="s">
        <v>72</v>
      </c>
      <c r="G11" s="30"/>
      <c r="H11" s="32" t="n">
        <v>46357</v>
      </c>
      <c r="I11" s="32"/>
    </row>
    <row r="12" customFormat="false" ht="15" hidden="false" customHeight="false" outlineLevel="0" collapsed="false">
      <c r="A12" s="30" t="s">
        <v>73</v>
      </c>
      <c r="B12" s="30"/>
      <c r="C12" s="33" t="n">
        <f aca="false">$K$2</f>
        <v>46387</v>
      </c>
      <c r="D12" s="33"/>
      <c r="F12" s="30" t="s">
        <v>74</v>
      </c>
      <c r="G12" s="30"/>
      <c r="H12" s="31" t="str">
        <f aca="false">הגדרות!$C$18&amp;" ו"&amp;הגדרות!$C$19&amp;", "&amp;TEXT(HOUR(הגדרות!$C$20),"00")&amp;":"&amp;TEXT(MINUTE(הגדרות!$C$20),"00")&amp;"–"&amp;TEXT(HOUR(הגדרות!$C$21),"00")&amp;":"&amp;TEXT(MINUTE(הגדרות!$C$21),"00")</f>
        <v>ראשון וחמישי, 09:00–12:30</v>
      </c>
      <c r="I12" s="31"/>
    </row>
    <row r="13" customFormat="false" ht="19.5" hidden="false" customHeight="true" outlineLevel="0" collapsed="false">
      <c r="A13" s="34" t="s">
        <v>75</v>
      </c>
      <c r="B13" s="34"/>
      <c r="C13" s="34"/>
      <c r="D13" s="34"/>
      <c r="E13" s="34"/>
      <c r="F13" s="34"/>
      <c r="G13" s="34"/>
      <c r="H13" s="35" t="s">
        <v>76</v>
      </c>
      <c r="I13" s="35"/>
    </row>
    <row r="14" customFormat="false" ht="27.75" hidden="false" customHeight="true" outlineLevel="0" collapsed="false">
      <c r="A14" s="36" t="s">
        <v>77</v>
      </c>
      <c r="B14" s="36" t="s">
        <v>73</v>
      </c>
      <c r="C14" s="36" t="s">
        <v>78</v>
      </c>
      <c r="D14" s="36" t="s">
        <v>79</v>
      </c>
      <c r="E14" s="36" t="s">
        <v>80</v>
      </c>
      <c r="F14" s="36" t="s">
        <v>81</v>
      </c>
      <c r="G14" s="36" t="s">
        <v>82</v>
      </c>
      <c r="H14" s="37" t="s">
        <v>21</v>
      </c>
      <c r="I14" s="37" t="s">
        <v>22</v>
      </c>
    </row>
    <row r="15" customFormat="false" ht="19.5" hidden="false" customHeight="true" outlineLevel="0" collapsed="false">
      <c r="A15" s="38" t="n">
        <f aca="false">IF(B15="","",ROW()-14)</f>
        <v>1</v>
      </c>
      <c r="B15" s="39" t="n">
        <f aca="false">$K$1+MIN(MOD(הגדרות!$D$18-WEEKDAY($K$1),7),MOD(הגדרות!$D$19-WEEKDAY($K$1),7))</f>
        <v>46359</v>
      </c>
      <c r="C15" s="38" t="str">
        <f aca="false">IF(B15="","",INDEX(הגדרות!$F$5:$F$11,WEEKDAY(B15)))</f>
        <v>חמישי</v>
      </c>
      <c r="D15" s="40" t="str">
        <f aca="false">IF(B15="","","הדרכה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5" s="41" t="s">
        <v>83</v>
      </c>
      <c r="F15" s="42" t="n">
        <f aca="false">IF(B15="","",IF(E15="לא",0,הגדרות!$C$22))</f>
        <v>3.5</v>
      </c>
      <c r="G15" s="43" t="n">
        <f aca="false">IF(B15="","",F15*הגדרות!$C$24)</f>
        <v>175</v>
      </c>
      <c r="H15" s="44"/>
      <c r="I15" s="45"/>
      <c r="K15" s="27" t="n">
        <f aca="false">IF(B15="","",B15+MIN(MOD(הגדרות!$D$18-WEEKDAY(B15)-1,7)+1,MOD(הגדרות!$D$19-WEEKDAY(B15)-1,7)+1))</f>
        <v>46362</v>
      </c>
    </row>
    <row r="16" customFormat="false" ht="19.5" hidden="false" customHeight="true" outlineLevel="0" collapsed="false">
      <c r="A16" s="38" t="n">
        <f aca="false">IF(B16="","",ROW()-14)</f>
        <v>2</v>
      </c>
      <c r="B16" s="39" t="n">
        <f aca="false">IF(K15="","",IF(K15&gt;$K$2,"",K15))</f>
        <v>46362</v>
      </c>
      <c r="C16" s="38" t="str">
        <f aca="false">IF(B16="","",INDEX(הגדרות!$F$5:$F$11,WEEKDAY(B16)))</f>
        <v>ראשון</v>
      </c>
      <c r="D16" s="40" t="str">
        <f aca="false">IF(B16="","","הדרכה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6" s="41" t="s">
        <v>83</v>
      </c>
      <c r="F16" s="42" t="n">
        <f aca="false">IF(B16="","",IF(E16="לא",0,הגדרות!$C$22))</f>
        <v>3.5</v>
      </c>
      <c r="G16" s="43" t="n">
        <f aca="false">IF(B16="","",F16*הגדרות!$C$24)</f>
        <v>175</v>
      </c>
      <c r="H16" s="44"/>
      <c r="I16" s="45"/>
      <c r="K16" s="27" t="n">
        <f aca="false">IF(B16="","",B16+MIN(MOD(הגדרות!$D$18-WEEKDAY(B16)-1,7)+1,MOD(הגדרות!$D$19-WEEKDAY(B16)-1,7)+1))</f>
        <v>46366</v>
      </c>
    </row>
    <row r="17" customFormat="false" ht="19.5" hidden="false" customHeight="true" outlineLevel="0" collapsed="false">
      <c r="A17" s="38" t="n">
        <f aca="false">IF(B17="","",ROW()-14)</f>
        <v>3</v>
      </c>
      <c r="B17" s="39" t="n">
        <f aca="false">IF(K16="","",IF(K16&gt;$K$2,"",K16))</f>
        <v>46366</v>
      </c>
      <c r="C17" s="38" t="str">
        <f aca="false">IF(B17="","",INDEX(הגדרות!$F$5:$F$11,WEEKDAY(B17)))</f>
        <v>חמישי</v>
      </c>
      <c r="D17" s="40" t="str">
        <f aca="false">IF(B17="","","הדרכה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7" s="41" t="s">
        <v>83</v>
      </c>
      <c r="F17" s="42" t="n">
        <f aca="false">IF(B17="","",IF(E17="לא",0,הגדרות!$C$22))</f>
        <v>3.5</v>
      </c>
      <c r="G17" s="43" t="n">
        <f aca="false">IF(B17="","",F17*הגדרות!$C$24)</f>
        <v>175</v>
      </c>
      <c r="H17" s="44"/>
      <c r="I17" s="45"/>
      <c r="K17" s="27" t="n">
        <f aca="false">IF(B17="","",B17+MIN(MOD(הגדרות!$D$18-WEEKDAY(B17)-1,7)+1,MOD(הגדרות!$D$19-WEEKDAY(B17)-1,7)+1))</f>
        <v>46369</v>
      </c>
    </row>
    <row r="18" customFormat="false" ht="19.5" hidden="false" customHeight="true" outlineLevel="0" collapsed="false">
      <c r="A18" s="38" t="n">
        <f aca="false">IF(B18="","",ROW()-14)</f>
        <v>4</v>
      </c>
      <c r="B18" s="39" t="n">
        <f aca="false">IF(K17="","",IF(K17&gt;$K$2,"",K17))</f>
        <v>46369</v>
      </c>
      <c r="C18" s="38" t="str">
        <f aca="false">IF(B18="","",INDEX(הגדרות!$F$5:$F$11,WEEKDAY(B18)))</f>
        <v>ראשון</v>
      </c>
      <c r="D18" s="40" t="str">
        <f aca="false">IF(B18="","","הדרכה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8" s="41" t="s">
        <v>83</v>
      </c>
      <c r="F18" s="42" t="n">
        <f aca="false">IF(B18="","",IF(E18="לא",0,הגדרות!$C$22))</f>
        <v>3.5</v>
      </c>
      <c r="G18" s="43" t="n">
        <f aca="false">IF(B18="","",F18*הגדרות!$C$24)</f>
        <v>175</v>
      </c>
      <c r="H18" s="44"/>
      <c r="I18" s="45"/>
      <c r="K18" s="27" t="n">
        <f aca="false">IF(B18="","",B18+MIN(MOD(הגדרות!$D$18-WEEKDAY(B18)-1,7)+1,MOD(הגדרות!$D$19-WEEKDAY(B18)-1,7)+1))</f>
        <v>46373</v>
      </c>
    </row>
    <row r="19" customFormat="false" ht="19.5" hidden="false" customHeight="true" outlineLevel="0" collapsed="false">
      <c r="A19" s="38" t="n">
        <f aca="false">IF(B19="","",ROW()-14)</f>
        <v>5</v>
      </c>
      <c r="B19" s="39" t="n">
        <f aca="false">IF(K18="","",IF(K18&gt;$K$2,"",K18))</f>
        <v>46373</v>
      </c>
      <c r="C19" s="38" t="str">
        <f aca="false">IF(B19="","",INDEX(הגדרות!$F$5:$F$11,WEEKDAY(B19)))</f>
        <v>חמישי</v>
      </c>
      <c r="D19" s="40" t="str">
        <f aca="false">IF(B19="","","הדרכה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9" s="41" t="s">
        <v>83</v>
      </c>
      <c r="F19" s="42" t="n">
        <f aca="false">IF(B19="","",IF(E19="לא",0,הגדרות!$C$22))</f>
        <v>3.5</v>
      </c>
      <c r="G19" s="43" t="n">
        <f aca="false">IF(B19="","",F19*הגדרות!$C$24)</f>
        <v>175</v>
      </c>
      <c r="H19" s="44"/>
      <c r="I19" s="45"/>
      <c r="K19" s="27" t="n">
        <f aca="false">IF(B19="","",B19+MIN(MOD(הגדרות!$D$18-WEEKDAY(B19)-1,7)+1,MOD(הגדרות!$D$19-WEEKDAY(B19)-1,7)+1))</f>
        <v>46376</v>
      </c>
    </row>
    <row r="20" customFormat="false" ht="19.5" hidden="false" customHeight="true" outlineLevel="0" collapsed="false">
      <c r="A20" s="38" t="n">
        <f aca="false">IF(B20="","",ROW()-14)</f>
        <v>6</v>
      </c>
      <c r="B20" s="39" t="n">
        <f aca="false">IF(K19="","",IF(K19&gt;$K$2,"",K19))</f>
        <v>46376</v>
      </c>
      <c r="C20" s="38" t="str">
        <f aca="false">IF(B20="","",INDEX(הגדרות!$F$5:$F$11,WEEKDAY(B20)))</f>
        <v>ראשון</v>
      </c>
      <c r="D20" s="40" t="str">
        <f aca="false">IF(B20="","","הדרכה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0" s="41" t="s">
        <v>83</v>
      </c>
      <c r="F20" s="42" t="n">
        <f aca="false">IF(B20="","",IF(E20="לא",0,הגדרות!$C$22))</f>
        <v>3.5</v>
      </c>
      <c r="G20" s="43" t="n">
        <f aca="false">IF(B20="","",F20*הגדרות!$C$24)</f>
        <v>175</v>
      </c>
      <c r="H20" s="44"/>
      <c r="I20" s="45"/>
      <c r="K20" s="27" t="n">
        <f aca="false">IF(B20="","",B20+MIN(MOD(הגדרות!$D$18-WEEKDAY(B20)-1,7)+1,MOD(הגדרות!$D$19-WEEKDAY(B20)-1,7)+1))</f>
        <v>46380</v>
      </c>
    </row>
    <row r="21" customFormat="false" ht="19.5" hidden="false" customHeight="true" outlineLevel="0" collapsed="false">
      <c r="A21" s="38" t="n">
        <f aca="false">IF(B21="","",ROW()-14)</f>
        <v>7</v>
      </c>
      <c r="B21" s="39" t="n">
        <f aca="false">IF(K20="","",IF(K20&gt;$K$2,"",K20))</f>
        <v>46380</v>
      </c>
      <c r="C21" s="38" t="str">
        <f aca="false">IF(B21="","",INDEX(הגדרות!$F$5:$F$11,WEEKDAY(B21)))</f>
        <v>חמישי</v>
      </c>
      <c r="D21" s="40" t="str">
        <f aca="false">IF(B21="","","הדרכה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1" s="41" t="s">
        <v>83</v>
      </c>
      <c r="F21" s="42" t="n">
        <f aca="false">IF(B21="","",IF(E21="לא",0,הגדרות!$C$22))</f>
        <v>3.5</v>
      </c>
      <c r="G21" s="43" t="n">
        <f aca="false">IF(B21="","",F21*הגדרות!$C$24)</f>
        <v>175</v>
      </c>
      <c r="H21" s="44"/>
      <c r="I21" s="45"/>
      <c r="K21" s="27" t="n">
        <f aca="false">IF(B21="","",B21+MIN(MOD(הגדרות!$D$18-WEEKDAY(B21)-1,7)+1,MOD(הגדרות!$D$19-WEEKDAY(B21)-1,7)+1))</f>
        <v>46383</v>
      </c>
    </row>
    <row r="22" customFormat="false" ht="19.5" hidden="false" customHeight="true" outlineLevel="0" collapsed="false">
      <c r="A22" s="38" t="n">
        <f aca="false">IF(B22="","",ROW()-14)</f>
        <v>8</v>
      </c>
      <c r="B22" s="39" t="n">
        <f aca="false">IF(K21="","",IF(K21&gt;$K$2,"",K21))</f>
        <v>46383</v>
      </c>
      <c r="C22" s="38" t="str">
        <f aca="false">IF(B22="","",INDEX(הגדרות!$F$5:$F$11,WEEKDAY(B22)))</f>
        <v>ראשון</v>
      </c>
      <c r="D22" s="40" t="str">
        <f aca="false">IF(B22="","","הדרכה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2" s="41" t="s">
        <v>83</v>
      </c>
      <c r="F22" s="42" t="n">
        <f aca="false">IF(B22="","",IF(E22="לא",0,הגדרות!$C$22))</f>
        <v>3.5</v>
      </c>
      <c r="G22" s="43" t="n">
        <f aca="false">IF(B22="","",F22*הגדרות!$C$24)</f>
        <v>175</v>
      </c>
      <c r="H22" s="44"/>
      <c r="I22" s="45"/>
      <c r="K22" s="27" t="n">
        <f aca="false">IF(B22="","",B22+MIN(MOD(הגדרות!$D$18-WEEKDAY(B22)-1,7)+1,MOD(הגדרות!$D$19-WEEKDAY(B22)-1,7)+1))</f>
        <v>46387</v>
      </c>
    </row>
    <row r="23" customFormat="false" ht="19.5" hidden="false" customHeight="true" outlineLevel="0" collapsed="false">
      <c r="A23" s="38" t="n">
        <f aca="false">IF(B23="","",ROW()-14)</f>
        <v>9</v>
      </c>
      <c r="B23" s="39" t="n">
        <f aca="false">IF(K22="","",IF(K22&gt;$K$2,"",K22))</f>
        <v>46387</v>
      </c>
      <c r="C23" s="38" t="str">
        <f aca="false">IF(B23="","",INDEX(הגדרות!$F$5:$F$11,WEEKDAY(B23)))</f>
        <v>חמישי</v>
      </c>
      <c r="D23" s="40" t="str">
        <f aca="false">IF(B23="","","הדרכה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3" s="41" t="s">
        <v>83</v>
      </c>
      <c r="F23" s="42" t="n">
        <f aca="false">IF(B23="","",IF(E23="לא",0,הגדרות!$C$22))</f>
        <v>3.5</v>
      </c>
      <c r="G23" s="43" t="n">
        <f aca="false">IF(B23="","",F23*הגדרות!$C$24)</f>
        <v>175</v>
      </c>
      <c r="H23" s="44"/>
      <c r="I23" s="45"/>
      <c r="K23" s="27" t="n">
        <f aca="false">IF(B23="","",B23+MIN(MOD(הגדרות!$D$18-WEEKDAY(B23)-1,7)+1,MOD(הגדרות!$D$19-WEEKDAY(B23)-1,7)+1))</f>
        <v>46390</v>
      </c>
    </row>
    <row r="24" customFormat="false" ht="19.5" hidden="false" customHeight="true" outlineLevel="0" collapsed="false">
      <c r="A24" s="38" t="str">
        <f aca="false">IF(B24="","",ROW()-14)</f>
        <v/>
      </c>
      <c r="B24" s="39" t="str">
        <f aca="false">IF(K23="","",IF(K23&gt;$K$2,"",K23))</f>
        <v/>
      </c>
      <c r="C24" s="38" t="str">
        <f aca="false">IF(B24="","",INDEX(הגדרות!$F$5:$F$11,WEEKDAY(B24)))</f>
        <v/>
      </c>
      <c r="D24" s="40" t="str">
        <f aca="false">IF(B24="","","הדרכה "&amp;TEXT(HOUR(הגדרות!$C$20),"00")&amp;":"&amp;TEXT(MINUTE(הגדרות!$C$20),"00")&amp;"–"&amp;TEXT(HOUR(הגדרות!$C$21),"00")&amp;":"&amp;TEXT(MINUTE(הגדרות!$C$21),"00"))</f>
        <v/>
      </c>
      <c r="E24" s="41" t="s">
        <v>83</v>
      </c>
      <c r="F24" s="42" t="str">
        <f aca="false">IF(B24="","",IF(E24="לא",0,הגדרות!$C$22))</f>
        <v/>
      </c>
      <c r="G24" s="43" t="str">
        <f aca="false">IF(B24="","",F24*הגדרות!$C$24)</f>
        <v/>
      </c>
      <c r="H24" s="44"/>
      <c r="I24" s="45"/>
      <c r="K24" s="27" t="str">
        <f aca="false">IF(B24="","",B24+MIN(MOD(הגדרות!$D$18-WEEKDAY(B24)-1,7)+1,MOD(הגדרות!$D$19-WEEKDAY(B24)-1,7)+1))</f>
        <v/>
      </c>
    </row>
    <row r="25" customFormat="false" ht="19.5" hidden="false" customHeight="true" outlineLevel="0" collapsed="false">
      <c r="A25" s="38" t="n">
        <f aca="false">COUNT($B$15:$B$24)+1</f>
        <v>10</v>
      </c>
      <c r="B25" s="46"/>
      <c r="C25" s="38" t="str">
        <f aca="false">IF(B25="","",INDEX(הגדרות!$F$5:$F$11,WEEKDAY(B25)))</f>
        <v/>
      </c>
      <c r="D25" s="40" t="s">
        <v>84</v>
      </c>
      <c r="E25" s="41" t="s">
        <v>83</v>
      </c>
      <c r="F25" s="42" t="n">
        <f aca="false">IF(E25="לא",0,הגדרות!$C$23)</f>
        <v>1</v>
      </c>
      <c r="G25" s="43" t="n">
        <f aca="false">F25*הגדרות!$C$24</f>
        <v>50</v>
      </c>
      <c r="H25" s="44"/>
      <c r="I25" s="45"/>
      <c r="K25" s="27"/>
    </row>
    <row r="26" customFormat="false" ht="21.75" hidden="false" customHeight="true" outlineLevel="0" collapsed="false">
      <c r="A26" s="47" t="s">
        <v>85</v>
      </c>
      <c r="B26" s="47"/>
      <c r="C26" s="47"/>
      <c r="D26" s="47"/>
      <c r="E26" s="47"/>
      <c r="F26" s="48" t="n">
        <f aca="false">SUM(F15:F25)</f>
        <v>32.5</v>
      </c>
      <c r="G26" s="49" t="n">
        <f aca="false">SUM(G15:G25)</f>
        <v>1625</v>
      </c>
      <c r="H26" s="47"/>
      <c r="I26" s="49" t="n">
        <f aca="false">SUM(I15:I25)</f>
        <v>0</v>
      </c>
    </row>
    <row r="28" customFormat="false" ht="19.5" hidden="false" customHeight="true" outlineLevel="0" collapsed="false">
      <c r="A28" s="50" t="s">
        <v>86</v>
      </c>
      <c r="B28" s="50"/>
      <c r="C28" s="50"/>
      <c r="D28" s="50"/>
      <c r="F28" s="40" t="s">
        <v>87</v>
      </c>
      <c r="G28" s="40"/>
      <c r="H28" s="40"/>
      <c r="I28" s="42" t="n">
        <f aca="false">F26</f>
        <v>32.5</v>
      </c>
    </row>
    <row r="29" customFormat="false" ht="30" hidden="false" customHeight="true" outlineLevel="0" collapsed="false">
      <c r="A29" s="51" t="str">
        <f aca="false">"• "&amp;הגדרות!$C$17&amp;": ימי "&amp;הגדרות!$C$18&amp;" ו"&amp;הגדרות!$C$19&amp;", "&amp;TEXT(HOUR(הגדרות!$C$20),"00")&amp;":"&amp;TEXT(MINUTE(הגדרות!$C$20),"00")&amp;"–"&amp;TEXT(HOUR(הגדרות!$C$21),"00")&amp;":"&amp;TEXT(MINUTE(הגדרות!$C$21),"00")&amp;" ("&amp;הגדרות!$C$22&amp;" שעות ליום), וישיבת צוות חודשית ("&amp;הגדרות!$C$23&amp;" ש׳)."</f>
        <v>• הדרכת שיקום: ימי ראשון וחמישי, 09:00–12:30 (3.5 שעות ליום), וישיבת צוות חודשית (1 ש׳).</v>
      </c>
      <c r="B29" s="51"/>
      <c r="C29" s="51"/>
      <c r="D29" s="51"/>
      <c r="E29" s="51"/>
      <c r="F29" s="40" t="str">
        <f aca="false">"הדרכת שיקום ("&amp;TEXT(F26,"0.0")&amp;" שעות × "&amp;הגדרות!$C$24&amp;" ₪)"</f>
        <v>הדרכת שיקום (32.5 שעות × 50 ₪)</v>
      </c>
      <c r="G29" s="40"/>
      <c r="H29" s="40"/>
      <c r="I29" s="43" t="n">
        <f aca="false">G26</f>
        <v>1625</v>
      </c>
    </row>
    <row r="30" customFormat="false" ht="19.5" hidden="false" customHeight="true" outlineLevel="0" collapsed="false">
      <c r="A30" s="51" t="str">
        <f aca="false">IF(הגדרות!$C$28="","","• "&amp;הגדרות!$C$28)</f>
        <v>• התעריף השעתי אינו כולל מע״מ. מע״מ יתווסף כחוק.</v>
      </c>
      <c r="B30" s="51"/>
      <c r="C30" s="51"/>
      <c r="D30" s="51"/>
      <c r="E30" s="51"/>
      <c r="F30" s="40" t="s">
        <v>88</v>
      </c>
      <c r="G30" s="40"/>
      <c r="H30" s="40"/>
      <c r="I30" s="43" t="n">
        <f aca="false">I26</f>
        <v>0</v>
      </c>
    </row>
    <row r="31" customFormat="false" ht="19.5" hidden="false" customHeight="true" outlineLevel="0" collapsed="false">
      <c r="A31" s="51" t="str">
        <f aca="false">IF(הגדרות!$C$29="","","• "&amp;הגדרות!$C$29)</f>
        <v>• פרויקטים פרטיים מתומחרים בנפרד, לפי הזמנת החווה.</v>
      </c>
      <c r="B31" s="51"/>
      <c r="C31" s="51"/>
      <c r="D31" s="51"/>
      <c r="E31" s="51"/>
      <c r="F31" s="52" t="s">
        <v>89</v>
      </c>
      <c r="G31" s="52"/>
      <c r="H31" s="52"/>
      <c r="I31" s="53" t="n">
        <f aca="false">I29+I30</f>
        <v>1625</v>
      </c>
    </row>
    <row r="32" customFormat="false" ht="19.5" hidden="false" customHeight="true" outlineLevel="0" collapsed="false">
      <c r="A32" s="51" t="str">
        <f aca="false">IF(הגדרות!$C$30="","","• "&amp;הגדרות!$C$30)</f>
        <v/>
      </c>
      <c r="B32" s="51"/>
      <c r="C32" s="51"/>
      <c r="D32" s="51"/>
      <c r="E32" s="51"/>
      <c r="F32" s="40" t="str">
        <f aca="false">"מע״מ "&amp;ROUND(הגדרות!$C$25*100,1)&amp;"%"</f>
        <v>מע״מ 18%</v>
      </c>
      <c r="G32" s="40"/>
      <c r="H32" s="40"/>
      <c r="I32" s="43" t="n">
        <f aca="false">ROUND(I31*הגדרות!$C$25,2)</f>
        <v>292.5</v>
      </c>
    </row>
    <row r="33" customFormat="false" ht="24" hidden="false" customHeight="true" outlineLevel="0" collapsed="false">
      <c r="F33" s="54" t="s">
        <v>90</v>
      </c>
      <c r="G33" s="54"/>
      <c r="H33" s="54"/>
      <c r="I33" s="55" t="n">
        <f aca="false">I31+I32</f>
        <v>1917.5</v>
      </c>
    </row>
    <row r="36" customFormat="false" ht="15" hidden="false" customHeight="false" outlineLevel="0" collapsed="false">
      <c r="A36" s="56" t="str">
        <f aca="false">"בברכה, "&amp;הגדרות!$C$6</f>
        <v>בברכה, (למילוי)</v>
      </c>
      <c r="B36" s="56"/>
      <c r="C36" s="56"/>
      <c r="D36" s="56"/>
      <c r="F36" s="56" t="s">
        <v>91</v>
      </c>
      <c r="G36" s="56"/>
      <c r="H36" s="56"/>
      <c r="I36" s="56"/>
    </row>
  </sheetData>
  <mergeCells count="44">
    <mergeCell ref="A1:I1"/>
    <mergeCell ref="A2:I2"/>
    <mergeCell ref="A4:D4"/>
    <mergeCell ref="F4:I4"/>
    <mergeCell ref="A5:B5"/>
    <mergeCell ref="C5:D5"/>
    <mergeCell ref="F5:G5"/>
    <mergeCell ref="H5:I5"/>
    <mergeCell ref="A6:B6"/>
    <mergeCell ref="C6:D6"/>
    <mergeCell ref="F6:G6"/>
    <mergeCell ref="H6:I6"/>
    <mergeCell ref="A7:B7"/>
    <mergeCell ref="C7:D7"/>
    <mergeCell ref="F7:G7"/>
    <mergeCell ref="H7:I7"/>
    <mergeCell ref="A8:B8"/>
    <mergeCell ref="C8:D8"/>
    <mergeCell ref="A9:B9"/>
    <mergeCell ref="C9:D9"/>
    <mergeCell ref="A11:B11"/>
    <mergeCell ref="C11:D11"/>
    <mergeCell ref="F11:G11"/>
    <mergeCell ref="H11:I11"/>
    <mergeCell ref="A12:B12"/>
    <mergeCell ref="C12:D12"/>
    <mergeCell ref="F12:G12"/>
    <mergeCell ref="H12:I12"/>
    <mergeCell ref="A13:G13"/>
    <mergeCell ref="H13:I13"/>
    <mergeCell ref="A26:E26"/>
    <mergeCell ref="A28:D28"/>
    <mergeCell ref="F28:H28"/>
    <mergeCell ref="A29:E29"/>
    <mergeCell ref="F29:H29"/>
    <mergeCell ref="A30:E30"/>
    <mergeCell ref="F30:H30"/>
    <mergeCell ref="A31:E31"/>
    <mergeCell ref="F31:H31"/>
    <mergeCell ref="A32:E32"/>
    <mergeCell ref="F32:H32"/>
    <mergeCell ref="F33:H33"/>
    <mergeCell ref="A36:D36"/>
    <mergeCell ref="F36:I36"/>
  </mergeCells>
  <conditionalFormatting sqref="E15:E24">
    <cfRule type="expression" priority="2" aboveAverage="0" equalAverage="0" bottom="0" percent="0" rank="0" text="" dxfId="0">
      <formula>$B15=""</formula>
    </cfRule>
  </conditionalFormatting>
  <conditionalFormatting sqref="A15:G25">
    <cfRule type="expression" priority="3" aboveAverage="0" equalAverage="0" bottom="0" percent="0" rank="0" text="" dxfId="1">
      <formula>$E15="לא"</formula>
    </cfRule>
  </conditionalFormatting>
  <dataValidations count="1">
    <dataValidation allowBlank="true" errorStyle="stop" operator="between" showDropDown="false" showErrorMessage="false" showInputMessage="false" sqref="E15:E25" type="list">
      <formula1>"כן,לא"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true" outlineLevel="0" max="11" min="11" style="0" width="13"/>
  </cols>
  <sheetData>
    <row r="1" customFormat="false" ht="36" hidden="false" customHeight="true" outlineLevel="0" collapsed="false">
      <c r="A1" s="26" t="s">
        <v>67</v>
      </c>
      <c r="B1" s="26"/>
      <c r="C1" s="26"/>
      <c r="D1" s="26"/>
      <c r="E1" s="26"/>
      <c r="F1" s="26"/>
      <c r="G1" s="26"/>
      <c r="H1" s="26"/>
      <c r="I1" s="26"/>
      <c r="K1" s="27" t="n">
        <f aca="false">DATE(YEAR($H$11),MONTH($H$11),1)</f>
        <v>46388</v>
      </c>
    </row>
    <row r="2" customFormat="false" ht="24" hidden="false" customHeight="true" outlineLevel="0" collapsed="false">
      <c r="A2" s="28" t="str">
        <f aca="false">הגדרות!$C$17&amp;" · "&amp;CHOOSE(MONTH($K$1),"ינואר","פברואר","מרץ","אפריל","מאי","יוני","יולי","אוגוסט","ספטמבר","אוקטובר","נובמבר","דצמבר")&amp;" "&amp;YEAR($K$1)</f>
        <v>הדרכת שיקום · ינואר 2027</v>
      </c>
      <c r="B2" s="28"/>
      <c r="C2" s="28"/>
      <c r="D2" s="28"/>
      <c r="E2" s="28"/>
      <c r="F2" s="28"/>
      <c r="G2" s="28"/>
      <c r="H2" s="28"/>
      <c r="I2" s="28"/>
      <c r="K2" s="27" t="n">
        <f aca="false">EOMONTH($K$1,0)</f>
        <v>46418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9" t="s">
        <v>68</v>
      </c>
      <c r="B4" s="29"/>
      <c r="C4" s="29"/>
      <c r="D4" s="29"/>
      <c r="F4" s="29" t="s">
        <v>69</v>
      </c>
      <c r="G4" s="29"/>
      <c r="H4" s="29"/>
      <c r="I4" s="29"/>
    </row>
    <row r="5" customFormat="false" ht="15" hidden="false" customHeight="false" outlineLevel="0" collapsed="false">
      <c r="A5" s="30" t="s">
        <v>28</v>
      </c>
      <c r="B5" s="30"/>
      <c r="C5" s="31" t="str">
        <f aca="false">הגדרות!$C$5</f>
        <v>הנגרייה</v>
      </c>
      <c r="D5" s="31"/>
      <c r="F5" s="30" t="s">
        <v>44</v>
      </c>
      <c r="G5" s="30"/>
      <c r="H5" s="31" t="str">
        <f aca="false">הגדרות!$C$12</f>
        <v>חוות רום</v>
      </c>
      <c r="I5" s="31"/>
    </row>
    <row r="6" customFormat="false" ht="15" hidden="false" customHeight="false" outlineLevel="0" collapsed="false">
      <c r="A6" s="30" t="s">
        <v>31</v>
      </c>
      <c r="B6" s="30"/>
      <c r="C6" s="31" t="str">
        <f aca="false">הגדרות!$C$6</f>
        <v>(למילוי)</v>
      </c>
      <c r="D6" s="31"/>
      <c r="F6" s="30" t="s">
        <v>46</v>
      </c>
      <c r="G6" s="30"/>
      <c r="H6" s="31" t="str">
        <f aca="false">הגדרות!$C$13</f>
        <v>הר כמון</v>
      </c>
      <c r="I6" s="31"/>
    </row>
    <row r="7" customFormat="false" ht="15" hidden="false" customHeight="false" outlineLevel="0" collapsed="false">
      <c r="A7" s="30" t="s">
        <v>70</v>
      </c>
      <c r="B7" s="30"/>
      <c r="C7" s="31" t="str">
        <f aca="false">הגדרות!$C$7</f>
        <v>(למילוי)</v>
      </c>
      <c r="D7" s="31"/>
      <c r="F7" s="30" t="s">
        <v>48</v>
      </c>
      <c r="G7" s="30"/>
      <c r="H7" s="31" t="str">
        <f aca="false">הגדרות!$C$14</f>
        <v>(למילוי)</v>
      </c>
      <c r="I7" s="31"/>
    </row>
    <row r="8" customFormat="false" ht="15" hidden="false" customHeight="false" outlineLevel="0" collapsed="false">
      <c r="A8" s="30" t="s">
        <v>36</v>
      </c>
      <c r="B8" s="30"/>
      <c r="C8" s="31" t="str">
        <f aca="false">הגדרות!$C$8</f>
        <v>(למילוי)</v>
      </c>
      <c r="D8" s="31"/>
    </row>
    <row r="9" customFormat="false" ht="15" hidden="false" customHeight="false" outlineLevel="0" collapsed="false">
      <c r="A9" s="30" t="s">
        <v>38</v>
      </c>
      <c r="B9" s="30"/>
      <c r="C9" s="31" t="str">
        <f aca="false">הגדרות!$C$9</f>
        <v>nettaamit21@gmail.com</v>
      </c>
      <c r="D9" s="31"/>
    </row>
    <row r="10" customFormat="false" ht="9.75" hidden="false" customHeight="true" outlineLevel="0" collapsed="false"/>
    <row r="11" customFormat="false" ht="15" hidden="false" customHeight="false" outlineLevel="0" collapsed="false">
      <c r="A11" s="30" t="s">
        <v>71</v>
      </c>
      <c r="B11" s="30"/>
      <c r="C11" s="31" t="str">
        <f aca="false">YEAR($K$1)&amp;"-"&amp;TEXT(MONTH($K$1),"00")</f>
        <v>2027-01</v>
      </c>
      <c r="D11" s="31"/>
      <c r="F11" s="30" t="s">
        <v>72</v>
      </c>
      <c r="G11" s="30"/>
      <c r="H11" s="32" t="n">
        <v>46388</v>
      </c>
      <c r="I11" s="32"/>
    </row>
    <row r="12" customFormat="false" ht="15" hidden="false" customHeight="false" outlineLevel="0" collapsed="false">
      <c r="A12" s="30" t="s">
        <v>73</v>
      </c>
      <c r="B12" s="30"/>
      <c r="C12" s="33" t="n">
        <f aca="false">$K$2</f>
        <v>46418</v>
      </c>
      <c r="D12" s="33"/>
      <c r="F12" s="30" t="s">
        <v>74</v>
      </c>
      <c r="G12" s="30"/>
      <c r="H12" s="31" t="str">
        <f aca="false">הגדרות!$C$18&amp;" ו"&amp;הגדרות!$C$19&amp;", "&amp;TEXT(HOUR(הגדרות!$C$20),"00")&amp;":"&amp;TEXT(MINUTE(הגדרות!$C$20),"00")&amp;"–"&amp;TEXT(HOUR(הגדרות!$C$21),"00")&amp;":"&amp;TEXT(MINUTE(הגדרות!$C$21),"00")</f>
        <v>ראשון וחמישי, 09:00–12:30</v>
      </c>
      <c r="I12" s="31"/>
    </row>
    <row r="13" customFormat="false" ht="19.5" hidden="false" customHeight="true" outlineLevel="0" collapsed="false">
      <c r="A13" s="34" t="s">
        <v>75</v>
      </c>
      <c r="B13" s="34"/>
      <c r="C13" s="34"/>
      <c r="D13" s="34"/>
      <c r="E13" s="34"/>
      <c r="F13" s="34"/>
      <c r="G13" s="34"/>
      <c r="H13" s="35" t="s">
        <v>76</v>
      </c>
      <c r="I13" s="35"/>
    </row>
    <row r="14" customFormat="false" ht="27.75" hidden="false" customHeight="true" outlineLevel="0" collapsed="false">
      <c r="A14" s="36" t="s">
        <v>77</v>
      </c>
      <c r="B14" s="36" t="s">
        <v>73</v>
      </c>
      <c r="C14" s="36" t="s">
        <v>78</v>
      </c>
      <c r="D14" s="36" t="s">
        <v>79</v>
      </c>
      <c r="E14" s="36" t="s">
        <v>80</v>
      </c>
      <c r="F14" s="36" t="s">
        <v>81</v>
      </c>
      <c r="G14" s="36" t="s">
        <v>82</v>
      </c>
      <c r="H14" s="37" t="s">
        <v>21</v>
      </c>
      <c r="I14" s="37" t="s">
        <v>22</v>
      </c>
    </row>
    <row r="15" customFormat="false" ht="19.5" hidden="false" customHeight="true" outlineLevel="0" collapsed="false">
      <c r="A15" s="38" t="n">
        <f aca="false">IF(B15="","",ROW()-14)</f>
        <v>1</v>
      </c>
      <c r="B15" s="39" t="n">
        <f aca="false">$K$1+MIN(MOD(הגדרות!$D$18-WEEKDAY($K$1),7),MOD(הגדרות!$D$19-WEEKDAY($K$1),7))</f>
        <v>46390</v>
      </c>
      <c r="C15" s="38" t="str">
        <f aca="false">IF(B15="","",INDEX(הגדרות!$F$5:$F$11,WEEKDAY(B15)))</f>
        <v>ראשון</v>
      </c>
      <c r="D15" s="40" t="str">
        <f aca="false">IF(B15="","","הדרכה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5" s="41" t="s">
        <v>83</v>
      </c>
      <c r="F15" s="42" t="n">
        <f aca="false">IF(B15="","",IF(E15="לא",0,הגדרות!$C$22))</f>
        <v>3.5</v>
      </c>
      <c r="G15" s="43" t="n">
        <f aca="false">IF(B15="","",F15*הגדרות!$C$24)</f>
        <v>175</v>
      </c>
      <c r="H15" s="44"/>
      <c r="I15" s="45"/>
      <c r="K15" s="27" t="n">
        <f aca="false">IF(B15="","",B15+MIN(MOD(הגדרות!$D$18-WEEKDAY(B15)-1,7)+1,MOD(הגדרות!$D$19-WEEKDAY(B15)-1,7)+1))</f>
        <v>46394</v>
      </c>
    </row>
    <row r="16" customFormat="false" ht="19.5" hidden="false" customHeight="true" outlineLevel="0" collapsed="false">
      <c r="A16" s="38" t="n">
        <f aca="false">IF(B16="","",ROW()-14)</f>
        <v>2</v>
      </c>
      <c r="B16" s="39" t="n">
        <f aca="false">IF(K15="","",IF(K15&gt;$K$2,"",K15))</f>
        <v>46394</v>
      </c>
      <c r="C16" s="38" t="str">
        <f aca="false">IF(B16="","",INDEX(הגדרות!$F$5:$F$11,WEEKDAY(B16)))</f>
        <v>חמישי</v>
      </c>
      <c r="D16" s="40" t="str">
        <f aca="false">IF(B16="","","הדרכה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6" s="41" t="s">
        <v>83</v>
      </c>
      <c r="F16" s="42" t="n">
        <f aca="false">IF(B16="","",IF(E16="לא",0,הגדרות!$C$22))</f>
        <v>3.5</v>
      </c>
      <c r="G16" s="43" t="n">
        <f aca="false">IF(B16="","",F16*הגדרות!$C$24)</f>
        <v>175</v>
      </c>
      <c r="H16" s="44"/>
      <c r="I16" s="45"/>
      <c r="K16" s="27" t="n">
        <f aca="false">IF(B16="","",B16+MIN(MOD(הגדרות!$D$18-WEEKDAY(B16)-1,7)+1,MOD(הגדרות!$D$19-WEEKDAY(B16)-1,7)+1))</f>
        <v>46397</v>
      </c>
    </row>
    <row r="17" customFormat="false" ht="19.5" hidden="false" customHeight="true" outlineLevel="0" collapsed="false">
      <c r="A17" s="38" t="n">
        <f aca="false">IF(B17="","",ROW()-14)</f>
        <v>3</v>
      </c>
      <c r="B17" s="39" t="n">
        <f aca="false">IF(K16="","",IF(K16&gt;$K$2,"",K16))</f>
        <v>46397</v>
      </c>
      <c r="C17" s="38" t="str">
        <f aca="false">IF(B17="","",INDEX(הגדרות!$F$5:$F$11,WEEKDAY(B17)))</f>
        <v>ראשון</v>
      </c>
      <c r="D17" s="40" t="str">
        <f aca="false">IF(B17="","","הדרכה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7" s="41" t="s">
        <v>83</v>
      </c>
      <c r="F17" s="42" t="n">
        <f aca="false">IF(B17="","",IF(E17="לא",0,הגדרות!$C$22))</f>
        <v>3.5</v>
      </c>
      <c r="G17" s="43" t="n">
        <f aca="false">IF(B17="","",F17*הגדרות!$C$24)</f>
        <v>175</v>
      </c>
      <c r="H17" s="44"/>
      <c r="I17" s="45"/>
      <c r="K17" s="27" t="n">
        <f aca="false">IF(B17="","",B17+MIN(MOD(הגדרות!$D$18-WEEKDAY(B17)-1,7)+1,MOD(הגדרות!$D$19-WEEKDAY(B17)-1,7)+1))</f>
        <v>46401</v>
      </c>
    </row>
    <row r="18" customFormat="false" ht="19.5" hidden="false" customHeight="true" outlineLevel="0" collapsed="false">
      <c r="A18" s="38" t="n">
        <f aca="false">IF(B18="","",ROW()-14)</f>
        <v>4</v>
      </c>
      <c r="B18" s="39" t="n">
        <f aca="false">IF(K17="","",IF(K17&gt;$K$2,"",K17))</f>
        <v>46401</v>
      </c>
      <c r="C18" s="38" t="str">
        <f aca="false">IF(B18="","",INDEX(הגדרות!$F$5:$F$11,WEEKDAY(B18)))</f>
        <v>חמישי</v>
      </c>
      <c r="D18" s="40" t="str">
        <f aca="false">IF(B18="","","הדרכה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8" s="41" t="s">
        <v>83</v>
      </c>
      <c r="F18" s="42" t="n">
        <f aca="false">IF(B18="","",IF(E18="לא",0,הגדרות!$C$22))</f>
        <v>3.5</v>
      </c>
      <c r="G18" s="43" t="n">
        <f aca="false">IF(B18="","",F18*הגדרות!$C$24)</f>
        <v>175</v>
      </c>
      <c r="H18" s="44"/>
      <c r="I18" s="45"/>
      <c r="K18" s="27" t="n">
        <f aca="false">IF(B18="","",B18+MIN(MOD(הגדרות!$D$18-WEEKDAY(B18)-1,7)+1,MOD(הגדרות!$D$19-WEEKDAY(B18)-1,7)+1))</f>
        <v>46404</v>
      </c>
    </row>
    <row r="19" customFormat="false" ht="19.5" hidden="false" customHeight="true" outlineLevel="0" collapsed="false">
      <c r="A19" s="38" t="n">
        <f aca="false">IF(B19="","",ROW()-14)</f>
        <v>5</v>
      </c>
      <c r="B19" s="39" t="n">
        <f aca="false">IF(K18="","",IF(K18&gt;$K$2,"",K18))</f>
        <v>46404</v>
      </c>
      <c r="C19" s="38" t="str">
        <f aca="false">IF(B19="","",INDEX(הגדרות!$F$5:$F$11,WEEKDAY(B19)))</f>
        <v>ראשון</v>
      </c>
      <c r="D19" s="40" t="str">
        <f aca="false">IF(B19="","","הדרכה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9" s="41" t="s">
        <v>83</v>
      </c>
      <c r="F19" s="42" t="n">
        <f aca="false">IF(B19="","",IF(E19="לא",0,הגדרות!$C$22))</f>
        <v>3.5</v>
      </c>
      <c r="G19" s="43" t="n">
        <f aca="false">IF(B19="","",F19*הגדרות!$C$24)</f>
        <v>175</v>
      </c>
      <c r="H19" s="44"/>
      <c r="I19" s="45"/>
      <c r="K19" s="27" t="n">
        <f aca="false">IF(B19="","",B19+MIN(MOD(הגדרות!$D$18-WEEKDAY(B19)-1,7)+1,MOD(הגדרות!$D$19-WEEKDAY(B19)-1,7)+1))</f>
        <v>46408</v>
      </c>
    </row>
    <row r="20" customFormat="false" ht="19.5" hidden="false" customHeight="true" outlineLevel="0" collapsed="false">
      <c r="A20" s="38" t="n">
        <f aca="false">IF(B20="","",ROW()-14)</f>
        <v>6</v>
      </c>
      <c r="B20" s="39" t="n">
        <f aca="false">IF(K19="","",IF(K19&gt;$K$2,"",K19))</f>
        <v>46408</v>
      </c>
      <c r="C20" s="38" t="str">
        <f aca="false">IF(B20="","",INDEX(הגדרות!$F$5:$F$11,WEEKDAY(B20)))</f>
        <v>חמישי</v>
      </c>
      <c r="D20" s="40" t="str">
        <f aca="false">IF(B20="","","הדרכה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0" s="41" t="s">
        <v>83</v>
      </c>
      <c r="F20" s="42" t="n">
        <f aca="false">IF(B20="","",IF(E20="לא",0,הגדרות!$C$22))</f>
        <v>3.5</v>
      </c>
      <c r="G20" s="43" t="n">
        <f aca="false">IF(B20="","",F20*הגדרות!$C$24)</f>
        <v>175</v>
      </c>
      <c r="H20" s="44"/>
      <c r="I20" s="45"/>
      <c r="K20" s="27" t="n">
        <f aca="false">IF(B20="","",B20+MIN(MOD(הגדרות!$D$18-WEEKDAY(B20)-1,7)+1,MOD(הגדרות!$D$19-WEEKDAY(B20)-1,7)+1))</f>
        <v>46411</v>
      </c>
    </row>
    <row r="21" customFormat="false" ht="19.5" hidden="false" customHeight="true" outlineLevel="0" collapsed="false">
      <c r="A21" s="38" t="n">
        <f aca="false">IF(B21="","",ROW()-14)</f>
        <v>7</v>
      </c>
      <c r="B21" s="39" t="n">
        <f aca="false">IF(K20="","",IF(K20&gt;$K$2,"",K20))</f>
        <v>46411</v>
      </c>
      <c r="C21" s="38" t="str">
        <f aca="false">IF(B21="","",INDEX(הגדרות!$F$5:$F$11,WEEKDAY(B21)))</f>
        <v>ראשון</v>
      </c>
      <c r="D21" s="40" t="str">
        <f aca="false">IF(B21="","","הדרכה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1" s="41" t="s">
        <v>83</v>
      </c>
      <c r="F21" s="42" t="n">
        <f aca="false">IF(B21="","",IF(E21="לא",0,הגדרות!$C$22))</f>
        <v>3.5</v>
      </c>
      <c r="G21" s="43" t="n">
        <f aca="false">IF(B21="","",F21*הגדרות!$C$24)</f>
        <v>175</v>
      </c>
      <c r="H21" s="44"/>
      <c r="I21" s="45"/>
      <c r="K21" s="27" t="n">
        <f aca="false">IF(B21="","",B21+MIN(MOD(הגדרות!$D$18-WEEKDAY(B21)-1,7)+1,MOD(הגדרות!$D$19-WEEKDAY(B21)-1,7)+1))</f>
        <v>46415</v>
      </c>
    </row>
    <row r="22" customFormat="false" ht="19.5" hidden="false" customHeight="true" outlineLevel="0" collapsed="false">
      <c r="A22" s="38" t="n">
        <f aca="false">IF(B22="","",ROW()-14)</f>
        <v>8</v>
      </c>
      <c r="B22" s="39" t="n">
        <f aca="false">IF(K21="","",IF(K21&gt;$K$2,"",K21))</f>
        <v>46415</v>
      </c>
      <c r="C22" s="38" t="str">
        <f aca="false">IF(B22="","",INDEX(הגדרות!$F$5:$F$11,WEEKDAY(B22)))</f>
        <v>חמישי</v>
      </c>
      <c r="D22" s="40" t="str">
        <f aca="false">IF(B22="","","הדרכה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2" s="41" t="s">
        <v>83</v>
      </c>
      <c r="F22" s="42" t="n">
        <f aca="false">IF(B22="","",IF(E22="לא",0,הגדרות!$C$22))</f>
        <v>3.5</v>
      </c>
      <c r="G22" s="43" t="n">
        <f aca="false">IF(B22="","",F22*הגדרות!$C$24)</f>
        <v>175</v>
      </c>
      <c r="H22" s="44"/>
      <c r="I22" s="45"/>
      <c r="K22" s="27" t="n">
        <f aca="false">IF(B22="","",B22+MIN(MOD(הגדרות!$D$18-WEEKDAY(B22)-1,7)+1,MOD(הגדרות!$D$19-WEEKDAY(B22)-1,7)+1))</f>
        <v>46418</v>
      </c>
    </row>
    <row r="23" customFormat="false" ht="19.5" hidden="false" customHeight="true" outlineLevel="0" collapsed="false">
      <c r="A23" s="38" t="n">
        <f aca="false">IF(B23="","",ROW()-14)</f>
        <v>9</v>
      </c>
      <c r="B23" s="39" t="n">
        <f aca="false">IF(K22="","",IF(K22&gt;$K$2,"",K22))</f>
        <v>46418</v>
      </c>
      <c r="C23" s="38" t="str">
        <f aca="false">IF(B23="","",INDEX(הגדרות!$F$5:$F$11,WEEKDAY(B23)))</f>
        <v>ראשון</v>
      </c>
      <c r="D23" s="40" t="str">
        <f aca="false">IF(B23="","","הדרכה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3" s="41" t="s">
        <v>83</v>
      </c>
      <c r="F23" s="42" t="n">
        <f aca="false">IF(B23="","",IF(E23="לא",0,הגדרות!$C$22))</f>
        <v>3.5</v>
      </c>
      <c r="G23" s="43" t="n">
        <f aca="false">IF(B23="","",F23*הגדרות!$C$24)</f>
        <v>175</v>
      </c>
      <c r="H23" s="44"/>
      <c r="I23" s="45"/>
      <c r="K23" s="27" t="n">
        <f aca="false">IF(B23="","",B23+MIN(MOD(הגדרות!$D$18-WEEKDAY(B23)-1,7)+1,MOD(הגדרות!$D$19-WEEKDAY(B23)-1,7)+1))</f>
        <v>46422</v>
      </c>
    </row>
    <row r="24" customFormat="false" ht="19.5" hidden="false" customHeight="true" outlineLevel="0" collapsed="false">
      <c r="A24" s="38" t="str">
        <f aca="false">IF(B24="","",ROW()-14)</f>
        <v/>
      </c>
      <c r="B24" s="39" t="str">
        <f aca="false">IF(K23="","",IF(K23&gt;$K$2,"",K23))</f>
        <v/>
      </c>
      <c r="C24" s="38" t="str">
        <f aca="false">IF(B24="","",INDEX(הגדרות!$F$5:$F$11,WEEKDAY(B24)))</f>
        <v/>
      </c>
      <c r="D24" s="40" t="str">
        <f aca="false">IF(B24="","","הדרכה "&amp;TEXT(HOUR(הגדרות!$C$20),"00")&amp;":"&amp;TEXT(MINUTE(הגדרות!$C$20),"00")&amp;"–"&amp;TEXT(HOUR(הגדרות!$C$21),"00")&amp;":"&amp;TEXT(MINUTE(הגדרות!$C$21),"00"))</f>
        <v/>
      </c>
      <c r="E24" s="41" t="s">
        <v>83</v>
      </c>
      <c r="F24" s="42" t="str">
        <f aca="false">IF(B24="","",IF(E24="לא",0,הגדרות!$C$22))</f>
        <v/>
      </c>
      <c r="G24" s="43" t="str">
        <f aca="false">IF(B24="","",F24*הגדרות!$C$24)</f>
        <v/>
      </c>
      <c r="H24" s="44"/>
      <c r="I24" s="45"/>
      <c r="K24" s="27" t="str">
        <f aca="false">IF(B24="","",B24+MIN(MOD(הגדרות!$D$18-WEEKDAY(B24)-1,7)+1,MOD(הגדרות!$D$19-WEEKDAY(B24)-1,7)+1))</f>
        <v/>
      </c>
    </row>
    <row r="25" customFormat="false" ht="19.5" hidden="false" customHeight="true" outlineLevel="0" collapsed="false">
      <c r="A25" s="38" t="n">
        <f aca="false">COUNT($B$15:$B$24)+1</f>
        <v>10</v>
      </c>
      <c r="B25" s="46"/>
      <c r="C25" s="38" t="str">
        <f aca="false">IF(B25="","",INDEX(הגדרות!$F$5:$F$11,WEEKDAY(B25)))</f>
        <v/>
      </c>
      <c r="D25" s="40" t="s">
        <v>84</v>
      </c>
      <c r="E25" s="41" t="s">
        <v>83</v>
      </c>
      <c r="F25" s="42" t="n">
        <f aca="false">IF(E25="לא",0,הגדרות!$C$23)</f>
        <v>1</v>
      </c>
      <c r="G25" s="43" t="n">
        <f aca="false">F25*הגדרות!$C$24</f>
        <v>50</v>
      </c>
      <c r="H25" s="44"/>
      <c r="I25" s="45"/>
      <c r="K25" s="27"/>
    </row>
    <row r="26" customFormat="false" ht="21.75" hidden="false" customHeight="true" outlineLevel="0" collapsed="false">
      <c r="A26" s="47" t="s">
        <v>85</v>
      </c>
      <c r="B26" s="47"/>
      <c r="C26" s="47"/>
      <c r="D26" s="47"/>
      <c r="E26" s="47"/>
      <c r="F26" s="48" t="n">
        <f aca="false">SUM(F15:F25)</f>
        <v>32.5</v>
      </c>
      <c r="G26" s="49" t="n">
        <f aca="false">SUM(G15:G25)</f>
        <v>1625</v>
      </c>
      <c r="H26" s="47"/>
      <c r="I26" s="49" t="n">
        <f aca="false">SUM(I15:I25)</f>
        <v>0</v>
      </c>
    </row>
    <row r="28" customFormat="false" ht="19.5" hidden="false" customHeight="true" outlineLevel="0" collapsed="false">
      <c r="A28" s="50" t="s">
        <v>86</v>
      </c>
      <c r="B28" s="50"/>
      <c r="C28" s="50"/>
      <c r="D28" s="50"/>
      <c r="F28" s="40" t="s">
        <v>87</v>
      </c>
      <c r="G28" s="40"/>
      <c r="H28" s="40"/>
      <c r="I28" s="42" t="n">
        <f aca="false">F26</f>
        <v>32.5</v>
      </c>
    </row>
    <row r="29" customFormat="false" ht="30" hidden="false" customHeight="true" outlineLevel="0" collapsed="false">
      <c r="A29" s="51" t="str">
        <f aca="false">"• "&amp;הגדרות!$C$17&amp;": ימי "&amp;הגדרות!$C$18&amp;" ו"&amp;הגדרות!$C$19&amp;", "&amp;TEXT(HOUR(הגדרות!$C$20),"00")&amp;":"&amp;TEXT(MINUTE(הגדרות!$C$20),"00")&amp;"–"&amp;TEXT(HOUR(הגדרות!$C$21),"00")&amp;":"&amp;TEXT(MINUTE(הגדרות!$C$21),"00")&amp;" ("&amp;הגדרות!$C$22&amp;" שעות ליום), וישיבת צוות חודשית ("&amp;הגדרות!$C$23&amp;" ש׳)."</f>
        <v>• הדרכת שיקום: ימי ראשון וחמישי, 09:00–12:30 (3.5 שעות ליום), וישיבת צוות חודשית (1 ש׳).</v>
      </c>
      <c r="B29" s="51"/>
      <c r="C29" s="51"/>
      <c r="D29" s="51"/>
      <c r="E29" s="51"/>
      <c r="F29" s="40" t="str">
        <f aca="false">"הדרכת שיקום ("&amp;TEXT(F26,"0.0")&amp;" שעות × "&amp;הגדרות!$C$24&amp;" ₪)"</f>
        <v>הדרכת שיקום (32.5 שעות × 50 ₪)</v>
      </c>
      <c r="G29" s="40"/>
      <c r="H29" s="40"/>
      <c r="I29" s="43" t="n">
        <f aca="false">G26</f>
        <v>1625</v>
      </c>
    </row>
    <row r="30" customFormat="false" ht="19.5" hidden="false" customHeight="true" outlineLevel="0" collapsed="false">
      <c r="A30" s="51" t="str">
        <f aca="false">IF(הגדרות!$C$28="","","• "&amp;הגדרות!$C$28)</f>
        <v>• התעריף השעתי אינו כולל מע״מ. מע״מ יתווסף כחוק.</v>
      </c>
      <c r="B30" s="51"/>
      <c r="C30" s="51"/>
      <c r="D30" s="51"/>
      <c r="E30" s="51"/>
      <c r="F30" s="40" t="s">
        <v>88</v>
      </c>
      <c r="G30" s="40"/>
      <c r="H30" s="40"/>
      <c r="I30" s="43" t="n">
        <f aca="false">I26</f>
        <v>0</v>
      </c>
    </row>
    <row r="31" customFormat="false" ht="19.5" hidden="false" customHeight="true" outlineLevel="0" collapsed="false">
      <c r="A31" s="51" t="str">
        <f aca="false">IF(הגדרות!$C$29="","","• "&amp;הגדרות!$C$29)</f>
        <v>• פרויקטים פרטיים מתומחרים בנפרד, לפי הזמנת החווה.</v>
      </c>
      <c r="B31" s="51"/>
      <c r="C31" s="51"/>
      <c r="D31" s="51"/>
      <c r="E31" s="51"/>
      <c r="F31" s="52" t="s">
        <v>89</v>
      </c>
      <c r="G31" s="52"/>
      <c r="H31" s="52"/>
      <c r="I31" s="53" t="n">
        <f aca="false">I29+I30</f>
        <v>1625</v>
      </c>
    </row>
    <row r="32" customFormat="false" ht="19.5" hidden="false" customHeight="true" outlineLevel="0" collapsed="false">
      <c r="A32" s="51" t="str">
        <f aca="false">IF(הגדרות!$C$30="","","• "&amp;הגדרות!$C$30)</f>
        <v/>
      </c>
      <c r="B32" s="51"/>
      <c r="C32" s="51"/>
      <c r="D32" s="51"/>
      <c r="E32" s="51"/>
      <c r="F32" s="40" t="str">
        <f aca="false">"מע״מ "&amp;ROUND(הגדרות!$C$25*100,1)&amp;"%"</f>
        <v>מע״מ 18%</v>
      </c>
      <c r="G32" s="40"/>
      <c r="H32" s="40"/>
      <c r="I32" s="43" t="n">
        <f aca="false">ROUND(I31*הגדרות!$C$25,2)</f>
        <v>292.5</v>
      </c>
    </row>
    <row r="33" customFormat="false" ht="24" hidden="false" customHeight="true" outlineLevel="0" collapsed="false">
      <c r="F33" s="54" t="s">
        <v>90</v>
      </c>
      <c r="G33" s="54"/>
      <c r="H33" s="54"/>
      <c r="I33" s="55" t="n">
        <f aca="false">I31+I32</f>
        <v>1917.5</v>
      </c>
    </row>
    <row r="36" customFormat="false" ht="15" hidden="false" customHeight="false" outlineLevel="0" collapsed="false">
      <c r="A36" s="56" t="str">
        <f aca="false">"בברכה, "&amp;הגדרות!$C$6</f>
        <v>בברכה, (למילוי)</v>
      </c>
      <c r="B36" s="56"/>
      <c r="C36" s="56"/>
      <c r="D36" s="56"/>
      <c r="F36" s="56" t="s">
        <v>91</v>
      </c>
      <c r="G36" s="56"/>
      <c r="H36" s="56"/>
      <c r="I36" s="56"/>
    </row>
  </sheetData>
  <mergeCells count="44">
    <mergeCell ref="A1:I1"/>
    <mergeCell ref="A2:I2"/>
    <mergeCell ref="A4:D4"/>
    <mergeCell ref="F4:I4"/>
    <mergeCell ref="A5:B5"/>
    <mergeCell ref="C5:D5"/>
    <mergeCell ref="F5:G5"/>
    <mergeCell ref="H5:I5"/>
    <mergeCell ref="A6:B6"/>
    <mergeCell ref="C6:D6"/>
    <mergeCell ref="F6:G6"/>
    <mergeCell ref="H6:I6"/>
    <mergeCell ref="A7:B7"/>
    <mergeCell ref="C7:D7"/>
    <mergeCell ref="F7:G7"/>
    <mergeCell ref="H7:I7"/>
    <mergeCell ref="A8:B8"/>
    <mergeCell ref="C8:D8"/>
    <mergeCell ref="A9:B9"/>
    <mergeCell ref="C9:D9"/>
    <mergeCell ref="A11:B11"/>
    <mergeCell ref="C11:D11"/>
    <mergeCell ref="F11:G11"/>
    <mergeCell ref="H11:I11"/>
    <mergeCell ref="A12:B12"/>
    <mergeCell ref="C12:D12"/>
    <mergeCell ref="F12:G12"/>
    <mergeCell ref="H12:I12"/>
    <mergeCell ref="A13:G13"/>
    <mergeCell ref="H13:I13"/>
    <mergeCell ref="A26:E26"/>
    <mergeCell ref="A28:D28"/>
    <mergeCell ref="F28:H28"/>
    <mergeCell ref="A29:E29"/>
    <mergeCell ref="F29:H29"/>
    <mergeCell ref="A30:E30"/>
    <mergeCell ref="F30:H30"/>
    <mergeCell ref="A31:E31"/>
    <mergeCell ref="F31:H31"/>
    <mergeCell ref="A32:E32"/>
    <mergeCell ref="F32:H32"/>
    <mergeCell ref="F33:H33"/>
    <mergeCell ref="A36:D36"/>
    <mergeCell ref="F36:I36"/>
  </mergeCells>
  <conditionalFormatting sqref="E15:E24">
    <cfRule type="expression" priority="2" aboveAverage="0" equalAverage="0" bottom="0" percent="0" rank="0" text="" dxfId="0">
      <formula>$B15=""</formula>
    </cfRule>
  </conditionalFormatting>
  <conditionalFormatting sqref="A15:G25">
    <cfRule type="expression" priority="3" aboveAverage="0" equalAverage="0" bottom="0" percent="0" rank="0" text="" dxfId="1">
      <formula>$E15="לא"</formula>
    </cfRule>
  </conditionalFormatting>
  <dataValidations count="1">
    <dataValidation allowBlank="true" errorStyle="stop" operator="between" showDropDown="false" showErrorMessage="false" showInputMessage="false" sqref="E15:E25" type="list">
      <formula1>"כן,לא"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true" outlineLevel="0" max="11" min="11" style="0" width="13"/>
  </cols>
  <sheetData>
    <row r="1" customFormat="false" ht="36" hidden="false" customHeight="true" outlineLevel="0" collapsed="false">
      <c r="A1" s="26" t="s">
        <v>67</v>
      </c>
      <c r="B1" s="26"/>
      <c r="C1" s="26"/>
      <c r="D1" s="26"/>
      <c r="E1" s="26"/>
      <c r="F1" s="26"/>
      <c r="G1" s="26"/>
      <c r="H1" s="26"/>
      <c r="I1" s="26"/>
      <c r="K1" s="27" t="n">
        <f aca="false">DATE(YEAR($H$11),MONTH($H$11),1)</f>
        <v>46419</v>
      </c>
    </row>
    <row r="2" customFormat="false" ht="24" hidden="false" customHeight="true" outlineLevel="0" collapsed="false">
      <c r="A2" s="28" t="str">
        <f aca="false">הגדרות!$C$17&amp;" · "&amp;CHOOSE(MONTH($K$1),"ינואר","פברואר","מרץ","אפריל","מאי","יוני","יולי","אוגוסט","ספטמבר","אוקטובר","נובמבר","דצמבר")&amp;" "&amp;YEAR($K$1)</f>
        <v>הדרכת שיקום · פברואר 2027</v>
      </c>
      <c r="B2" s="28"/>
      <c r="C2" s="28"/>
      <c r="D2" s="28"/>
      <c r="E2" s="28"/>
      <c r="F2" s="28"/>
      <c r="G2" s="28"/>
      <c r="H2" s="28"/>
      <c r="I2" s="28"/>
      <c r="K2" s="27" t="n">
        <f aca="false">EOMONTH($K$1,0)</f>
        <v>46446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9" t="s">
        <v>68</v>
      </c>
      <c r="B4" s="29"/>
      <c r="C4" s="29"/>
      <c r="D4" s="29"/>
      <c r="F4" s="29" t="s">
        <v>69</v>
      </c>
      <c r="G4" s="29"/>
      <c r="H4" s="29"/>
      <c r="I4" s="29"/>
    </row>
    <row r="5" customFormat="false" ht="15" hidden="false" customHeight="false" outlineLevel="0" collapsed="false">
      <c r="A5" s="30" t="s">
        <v>28</v>
      </c>
      <c r="B5" s="30"/>
      <c r="C5" s="31" t="str">
        <f aca="false">הגדרות!$C$5</f>
        <v>הנגרייה</v>
      </c>
      <c r="D5" s="31"/>
      <c r="F5" s="30" t="s">
        <v>44</v>
      </c>
      <c r="G5" s="30"/>
      <c r="H5" s="31" t="str">
        <f aca="false">הגדרות!$C$12</f>
        <v>חוות רום</v>
      </c>
      <c r="I5" s="31"/>
    </row>
    <row r="6" customFormat="false" ht="15" hidden="false" customHeight="false" outlineLevel="0" collapsed="false">
      <c r="A6" s="30" t="s">
        <v>31</v>
      </c>
      <c r="B6" s="30"/>
      <c r="C6" s="31" t="str">
        <f aca="false">הגדרות!$C$6</f>
        <v>(למילוי)</v>
      </c>
      <c r="D6" s="31"/>
      <c r="F6" s="30" t="s">
        <v>46</v>
      </c>
      <c r="G6" s="30"/>
      <c r="H6" s="31" t="str">
        <f aca="false">הגדרות!$C$13</f>
        <v>הר כמון</v>
      </c>
      <c r="I6" s="31"/>
    </row>
    <row r="7" customFormat="false" ht="15" hidden="false" customHeight="false" outlineLevel="0" collapsed="false">
      <c r="A7" s="30" t="s">
        <v>70</v>
      </c>
      <c r="B7" s="30"/>
      <c r="C7" s="31" t="str">
        <f aca="false">הגדרות!$C$7</f>
        <v>(למילוי)</v>
      </c>
      <c r="D7" s="31"/>
      <c r="F7" s="30" t="s">
        <v>48</v>
      </c>
      <c r="G7" s="30"/>
      <c r="H7" s="31" t="str">
        <f aca="false">הגדרות!$C$14</f>
        <v>(למילוי)</v>
      </c>
      <c r="I7" s="31"/>
    </row>
    <row r="8" customFormat="false" ht="15" hidden="false" customHeight="false" outlineLevel="0" collapsed="false">
      <c r="A8" s="30" t="s">
        <v>36</v>
      </c>
      <c r="B8" s="30"/>
      <c r="C8" s="31" t="str">
        <f aca="false">הגדרות!$C$8</f>
        <v>(למילוי)</v>
      </c>
      <c r="D8" s="31"/>
    </row>
    <row r="9" customFormat="false" ht="15" hidden="false" customHeight="false" outlineLevel="0" collapsed="false">
      <c r="A9" s="30" t="s">
        <v>38</v>
      </c>
      <c r="B9" s="30"/>
      <c r="C9" s="31" t="str">
        <f aca="false">הגדרות!$C$9</f>
        <v>nettaamit21@gmail.com</v>
      </c>
      <c r="D9" s="31"/>
    </row>
    <row r="10" customFormat="false" ht="9.75" hidden="false" customHeight="true" outlineLevel="0" collapsed="false"/>
    <row r="11" customFormat="false" ht="15" hidden="false" customHeight="false" outlineLevel="0" collapsed="false">
      <c r="A11" s="30" t="s">
        <v>71</v>
      </c>
      <c r="B11" s="30"/>
      <c r="C11" s="31" t="str">
        <f aca="false">YEAR($K$1)&amp;"-"&amp;TEXT(MONTH($K$1),"00")</f>
        <v>2027-02</v>
      </c>
      <c r="D11" s="31"/>
      <c r="F11" s="30" t="s">
        <v>72</v>
      </c>
      <c r="G11" s="30"/>
      <c r="H11" s="32" t="n">
        <v>46419</v>
      </c>
      <c r="I11" s="32"/>
    </row>
    <row r="12" customFormat="false" ht="15" hidden="false" customHeight="false" outlineLevel="0" collapsed="false">
      <c r="A12" s="30" t="s">
        <v>73</v>
      </c>
      <c r="B12" s="30"/>
      <c r="C12" s="33" t="n">
        <f aca="false">$K$2</f>
        <v>46446</v>
      </c>
      <c r="D12" s="33"/>
      <c r="F12" s="30" t="s">
        <v>74</v>
      </c>
      <c r="G12" s="30"/>
      <c r="H12" s="31" t="str">
        <f aca="false">הגדרות!$C$18&amp;" ו"&amp;הגדרות!$C$19&amp;", "&amp;TEXT(HOUR(הגדרות!$C$20),"00")&amp;":"&amp;TEXT(MINUTE(הגדרות!$C$20),"00")&amp;"–"&amp;TEXT(HOUR(הגדרות!$C$21),"00")&amp;":"&amp;TEXT(MINUTE(הגדרות!$C$21),"00")</f>
        <v>ראשון וחמישי, 09:00–12:30</v>
      </c>
      <c r="I12" s="31"/>
    </row>
    <row r="13" customFormat="false" ht="19.5" hidden="false" customHeight="true" outlineLevel="0" collapsed="false">
      <c r="A13" s="34" t="s">
        <v>75</v>
      </c>
      <c r="B13" s="34"/>
      <c r="C13" s="34"/>
      <c r="D13" s="34"/>
      <c r="E13" s="34"/>
      <c r="F13" s="34"/>
      <c r="G13" s="34"/>
      <c r="H13" s="35" t="s">
        <v>76</v>
      </c>
      <c r="I13" s="35"/>
    </row>
    <row r="14" customFormat="false" ht="27.75" hidden="false" customHeight="true" outlineLevel="0" collapsed="false">
      <c r="A14" s="36" t="s">
        <v>77</v>
      </c>
      <c r="B14" s="36" t="s">
        <v>73</v>
      </c>
      <c r="C14" s="36" t="s">
        <v>78</v>
      </c>
      <c r="D14" s="36" t="s">
        <v>79</v>
      </c>
      <c r="E14" s="36" t="s">
        <v>80</v>
      </c>
      <c r="F14" s="36" t="s">
        <v>81</v>
      </c>
      <c r="G14" s="36" t="s">
        <v>82</v>
      </c>
      <c r="H14" s="37" t="s">
        <v>21</v>
      </c>
      <c r="I14" s="37" t="s">
        <v>22</v>
      </c>
    </row>
    <row r="15" customFormat="false" ht="19.5" hidden="false" customHeight="true" outlineLevel="0" collapsed="false">
      <c r="A15" s="38" t="n">
        <f aca="false">IF(B15="","",ROW()-14)</f>
        <v>1</v>
      </c>
      <c r="B15" s="39" t="n">
        <f aca="false">$K$1+MIN(MOD(הגדרות!$D$18-WEEKDAY($K$1),7),MOD(הגדרות!$D$19-WEEKDAY($K$1),7))</f>
        <v>46422</v>
      </c>
      <c r="C15" s="38" t="str">
        <f aca="false">IF(B15="","",INDEX(הגדרות!$F$5:$F$11,WEEKDAY(B15)))</f>
        <v>חמישי</v>
      </c>
      <c r="D15" s="40" t="str">
        <f aca="false">IF(B15="","","הדרכה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5" s="41" t="s">
        <v>83</v>
      </c>
      <c r="F15" s="42" t="n">
        <f aca="false">IF(B15="","",IF(E15="לא",0,הגדרות!$C$22))</f>
        <v>3.5</v>
      </c>
      <c r="G15" s="43" t="n">
        <f aca="false">IF(B15="","",F15*הגדרות!$C$24)</f>
        <v>175</v>
      </c>
      <c r="H15" s="44"/>
      <c r="I15" s="45"/>
      <c r="K15" s="27" t="n">
        <f aca="false">IF(B15="","",B15+MIN(MOD(הגדרות!$D$18-WEEKDAY(B15)-1,7)+1,MOD(הגדרות!$D$19-WEEKDAY(B15)-1,7)+1))</f>
        <v>46425</v>
      </c>
    </row>
    <row r="16" customFormat="false" ht="19.5" hidden="false" customHeight="true" outlineLevel="0" collapsed="false">
      <c r="A16" s="38" t="n">
        <f aca="false">IF(B16="","",ROW()-14)</f>
        <v>2</v>
      </c>
      <c r="B16" s="39" t="n">
        <f aca="false">IF(K15="","",IF(K15&gt;$K$2,"",K15))</f>
        <v>46425</v>
      </c>
      <c r="C16" s="38" t="str">
        <f aca="false">IF(B16="","",INDEX(הגדרות!$F$5:$F$11,WEEKDAY(B16)))</f>
        <v>ראשון</v>
      </c>
      <c r="D16" s="40" t="str">
        <f aca="false">IF(B16="","","הדרכה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6" s="41" t="s">
        <v>83</v>
      </c>
      <c r="F16" s="42" t="n">
        <f aca="false">IF(B16="","",IF(E16="לא",0,הגדרות!$C$22))</f>
        <v>3.5</v>
      </c>
      <c r="G16" s="43" t="n">
        <f aca="false">IF(B16="","",F16*הגדרות!$C$24)</f>
        <v>175</v>
      </c>
      <c r="H16" s="44"/>
      <c r="I16" s="45"/>
      <c r="K16" s="27" t="n">
        <f aca="false">IF(B16="","",B16+MIN(MOD(הגדרות!$D$18-WEEKDAY(B16)-1,7)+1,MOD(הגדרות!$D$19-WEEKDAY(B16)-1,7)+1))</f>
        <v>46429</v>
      </c>
    </row>
    <row r="17" customFormat="false" ht="19.5" hidden="false" customHeight="true" outlineLevel="0" collapsed="false">
      <c r="A17" s="38" t="n">
        <f aca="false">IF(B17="","",ROW()-14)</f>
        <v>3</v>
      </c>
      <c r="B17" s="39" t="n">
        <f aca="false">IF(K16="","",IF(K16&gt;$K$2,"",K16))</f>
        <v>46429</v>
      </c>
      <c r="C17" s="38" t="str">
        <f aca="false">IF(B17="","",INDEX(הגדרות!$F$5:$F$11,WEEKDAY(B17)))</f>
        <v>חמישי</v>
      </c>
      <c r="D17" s="40" t="str">
        <f aca="false">IF(B17="","","הדרכה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7" s="41" t="s">
        <v>83</v>
      </c>
      <c r="F17" s="42" t="n">
        <f aca="false">IF(B17="","",IF(E17="לא",0,הגדרות!$C$22))</f>
        <v>3.5</v>
      </c>
      <c r="G17" s="43" t="n">
        <f aca="false">IF(B17="","",F17*הגדרות!$C$24)</f>
        <v>175</v>
      </c>
      <c r="H17" s="44"/>
      <c r="I17" s="45"/>
      <c r="K17" s="27" t="n">
        <f aca="false">IF(B17="","",B17+MIN(MOD(הגדרות!$D$18-WEEKDAY(B17)-1,7)+1,MOD(הגדרות!$D$19-WEEKDAY(B17)-1,7)+1))</f>
        <v>46432</v>
      </c>
    </row>
    <row r="18" customFormat="false" ht="19.5" hidden="false" customHeight="true" outlineLevel="0" collapsed="false">
      <c r="A18" s="38" t="n">
        <f aca="false">IF(B18="","",ROW()-14)</f>
        <v>4</v>
      </c>
      <c r="B18" s="39" t="n">
        <f aca="false">IF(K17="","",IF(K17&gt;$K$2,"",K17))</f>
        <v>46432</v>
      </c>
      <c r="C18" s="38" t="str">
        <f aca="false">IF(B18="","",INDEX(הגדרות!$F$5:$F$11,WEEKDAY(B18)))</f>
        <v>ראשון</v>
      </c>
      <c r="D18" s="40" t="str">
        <f aca="false">IF(B18="","","הדרכה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8" s="41" t="s">
        <v>83</v>
      </c>
      <c r="F18" s="42" t="n">
        <f aca="false">IF(B18="","",IF(E18="לא",0,הגדרות!$C$22))</f>
        <v>3.5</v>
      </c>
      <c r="G18" s="43" t="n">
        <f aca="false">IF(B18="","",F18*הגדרות!$C$24)</f>
        <v>175</v>
      </c>
      <c r="H18" s="44"/>
      <c r="I18" s="45"/>
      <c r="K18" s="27" t="n">
        <f aca="false">IF(B18="","",B18+MIN(MOD(הגדרות!$D$18-WEEKDAY(B18)-1,7)+1,MOD(הגדרות!$D$19-WEEKDAY(B18)-1,7)+1))</f>
        <v>46436</v>
      </c>
    </row>
    <row r="19" customFormat="false" ht="19.5" hidden="false" customHeight="true" outlineLevel="0" collapsed="false">
      <c r="A19" s="38" t="n">
        <f aca="false">IF(B19="","",ROW()-14)</f>
        <v>5</v>
      </c>
      <c r="B19" s="39" t="n">
        <f aca="false">IF(K18="","",IF(K18&gt;$K$2,"",K18))</f>
        <v>46436</v>
      </c>
      <c r="C19" s="38" t="str">
        <f aca="false">IF(B19="","",INDEX(הגדרות!$F$5:$F$11,WEEKDAY(B19)))</f>
        <v>חמישי</v>
      </c>
      <c r="D19" s="40" t="str">
        <f aca="false">IF(B19="","","הדרכה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9" s="41" t="s">
        <v>83</v>
      </c>
      <c r="F19" s="42" t="n">
        <f aca="false">IF(B19="","",IF(E19="לא",0,הגדרות!$C$22))</f>
        <v>3.5</v>
      </c>
      <c r="G19" s="43" t="n">
        <f aca="false">IF(B19="","",F19*הגדרות!$C$24)</f>
        <v>175</v>
      </c>
      <c r="H19" s="44"/>
      <c r="I19" s="45"/>
      <c r="K19" s="27" t="n">
        <f aca="false">IF(B19="","",B19+MIN(MOD(הגדרות!$D$18-WEEKDAY(B19)-1,7)+1,MOD(הגדרות!$D$19-WEEKDAY(B19)-1,7)+1))</f>
        <v>46439</v>
      </c>
    </row>
    <row r="20" customFormat="false" ht="19.5" hidden="false" customHeight="true" outlineLevel="0" collapsed="false">
      <c r="A20" s="38" t="n">
        <f aca="false">IF(B20="","",ROW()-14)</f>
        <v>6</v>
      </c>
      <c r="B20" s="39" t="n">
        <f aca="false">IF(K19="","",IF(K19&gt;$K$2,"",K19))</f>
        <v>46439</v>
      </c>
      <c r="C20" s="38" t="str">
        <f aca="false">IF(B20="","",INDEX(הגדרות!$F$5:$F$11,WEEKDAY(B20)))</f>
        <v>ראשון</v>
      </c>
      <c r="D20" s="40" t="str">
        <f aca="false">IF(B20="","","הדרכה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0" s="41" t="s">
        <v>83</v>
      </c>
      <c r="F20" s="42" t="n">
        <f aca="false">IF(B20="","",IF(E20="לא",0,הגדרות!$C$22))</f>
        <v>3.5</v>
      </c>
      <c r="G20" s="43" t="n">
        <f aca="false">IF(B20="","",F20*הגדרות!$C$24)</f>
        <v>175</v>
      </c>
      <c r="H20" s="44"/>
      <c r="I20" s="45"/>
      <c r="K20" s="27" t="n">
        <f aca="false">IF(B20="","",B20+MIN(MOD(הגדרות!$D$18-WEEKDAY(B20)-1,7)+1,MOD(הגדרות!$D$19-WEEKDAY(B20)-1,7)+1))</f>
        <v>46443</v>
      </c>
    </row>
    <row r="21" customFormat="false" ht="19.5" hidden="false" customHeight="true" outlineLevel="0" collapsed="false">
      <c r="A21" s="38" t="n">
        <f aca="false">IF(B21="","",ROW()-14)</f>
        <v>7</v>
      </c>
      <c r="B21" s="39" t="n">
        <f aca="false">IF(K20="","",IF(K20&gt;$K$2,"",K20))</f>
        <v>46443</v>
      </c>
      <c r="C21" s="38" t="str">
        <f aca="false">IF(B21="","",INDEX(הגדרות!$F$5:$F$11,WEEKDAY(B21)))</f>
        <v>חמישי</v>
      </c>
      <c r="D21" s="40" t="str">
        <f aca="false">IF(B21="","","הדרכה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1" s="41" t="s">
        <v>83</v>
      </c>
      <c r="F21" s="42" t="n">
        <f aca="false">IF(B21="","",IF(E21="לא",0,הגדרות!$C$22))</f>
        <v>3.5</v>
      </c>
      <c r="G21" s="43" t="n">
        <f aca="false">IF(B21="","",F21*הגדרות!$C$24)</f>
        <v>175</v>
      </c>
      <c r="H21" s="44"/>
      <c r="I21" s="45"/>
      <c r="K21" s="27" t="n">
        <f aca="false">IF(B21="","",B21+MIN(MOD(הגדרות!$D$18-WEEKDAY(B21)-1,7)+1,MOD(הגדרות!$D$19-WEEKDAY(B21)-1,7)+1))</f>
        <v>46446</v>
      </c>
    </row>
    <row r="22" customFormat="false" ht="19.5" hidden="false" customHeight="true" outlineLevel="0" collapsed="false">
      <c r="A22" s="38" t="n">
        <f aca="false">IF(B22="","",ROW()-14)</f>
        <v>8</v>
      </c>
      <c r="B22" s="39" t="n">
        <f aca="false">IF(K21="","",IF(K21&gt;$K$2,"",K21))</f>
        <v>46446</v>
      </c>
      <c r="C22" s="38" t="str">
        <f aca="false">IF(B22="","",INDEX(הגדרות!$F$5:$F$11,WEEKDAY(B22)))</f>
        <v>ראשון</v>
      </c>
      <c r="D22" s="40" t="str">
        <f aca="false">IF(B22="","","הדרכה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2" s="41" t="s">
        <v>83</v>
      </c>
      <c r="F22" s="42" t="n">
        <f aca="false">IF(B22="","",IF(E22="לא",0,הגדרות!$C$22))</f>
        <v>3.5</v>
      </c>
      <c r="G22" s="43" t="n">
        <f aca="false">IF(B22="","",F22*הגדרות!$C$24)</f>
        <v>175</v>
      </c>
      <c r="H22" s="44"/>
      <c r="I22" s="45"/>
      <c r="K22" s="27" t="n">
        <f aca="false">IF(B22="","",B22+MIN(MOD(הגדרות!$D$18-WEEKDAY(B22)-1,7)+1,MOD(הגדרות!$D$19-WEEKDAY(B22)-1,7)+1))</f>
        <v>46450</v>
      </c>
    </row>
    <row r="23" customFormat="false" ht="19.5" hidden="false" customHeight="true" outlineLevel="0" collapsed="false">
      <c r="A23" s="38" t="str">
        <f aca="false">IF(B23="","",ROW()-14)</f>
        <v/>
      </c>
      <c r="B23" s="39" t="str">
        <f aca="false">IF(K22="","",IF(K22&gt;$K$2,"",K22))</f>
        <v/>
      </c>
      <c r="C23" s="38" t="str">
        <f aca="false">IF(B23="","",INDEX(הגדרות!$F$5:$F$11,WEEKDAY(B23)))</f>
        <v/>
      </c>
      <c r="D23" s="40" t="str">
        <f aca="false">IF(B23="","","הדרכה "&amp;TEXT(HOUR(הגדרות!$C$20),"00")&amp;":"&amp;TEXT(MINUTE(הגדרות!$C$20),"00")&amp;"–"&amp;TEXT(HOUR(הגדרות!$C$21),"00")&amp;":"&amp;TEXT(MINUTE(הגדרות!$C$21),"00"))</f>
        <v/>
      </c>
      <c r="E23" s="41" t="s">
        <v>83</v>
      </c>
      <c r="F23" s="42" t="str">
        <f aca="false">IF(B23="","",IF(E23="לא",0,הגדרות!$C$22))</f>
        <v/>
      </c>
      <c r="G23" s="43" t="str">
        <f aca="false">IF(B23="","",F23*הגדרות!$C$24)</f>
        <v/>
      </c>
      <c r="H23" s="44"/>
      <c r="I23" s="45"/>
      <c r="K23" s="27" t="str">
        <f aca="false">IF(B23="","",B23+MIN(MOD(הגדרות!$D$18-WEEKDAY(B23)-1,7)+1,MOD(הגדרות!$D$19-WEEKDAY(B23)-1,7)+1))</f>
        <v/>
      </c>
    </row>
    <row r="24" customFormat="false" ht="19.5" hidden="false" customHeight="true" outlineLevel="0" collapsed="false">
      <c r="A24" s="38" t="str">
        <f aca="false">IF(B24="","",ROW()-14)</f>
        <v/>
      </c>
      <c r="B24" s="39" t="str">
        <f aca="false">IF(K23="","",IF(K23&gt;$K$2,"",K23))</f>
        <v/>
      </c>
      <c r="C24" s="38" t="str">
        <f aca="false">IF(B24="","",INDEX(הגדרות!$F$5:$F$11,WEEKDAY(B24)))</f>
        <v/>
      </c>
      <c r="D24" s="40" t="str">
        <f aca="false">IF(B24="","","הדרכה "&amp;TEXT(HOUR(הגדרות!$C$20),"00")&amp;":"&amp;TEXT(MINUTE(הגדרות!$C$20),"00")&amp;"–"&amp;TEXT(HOUR(הגדרות!$C$21),"00")&amp;":"&amp;TEXT(MINUTE(הגדרות!$C$21),"00"))</f>
        <v/>
      </c>
      <c r="E24" s="41" t="s">
        <v>83</v>
      </c>
      <c r="F24" s="42" t="str">
        <f aca="false">IF(B24="","",IF(E24="לא",0,הגדרות!$C$22))</f>
        <v/>
      </c>
      <c r="G24" s="43" t="str">
        <f aca="false">IF(B24="","",F24*הגדרות!$C$24)</f>
        <v/>
      </c>
      <c r="H24" s="44"/>
      <c r="I24" s="45"/>
      <c r="K24" s="27" t="str">
        <f aca="false">IF(B24="","",B24+MIN(MOD(הגדרות!$D$18-WEEKDAY(B24)-1,7)+1,MOD(הגדרות!$D$19-WEEKDAY(B24)-1,7)+1))</f>
        <v/>
      </c>
    </row>
    <row r="25" customFormat="false" ht="19.5" hidden="false" customHeight="true" outlineLevel="0" collapsed="false">
      <c r="A25" s="38" t="n">
        <f aca="false">COUNT($B$15:$B$24)+1</f>
        <v>9</v>
      </c>
      <c r="B25" s="46"/>
      <c r="C25" s="38" t="str">
        <f aca="false">IF(B25="","",INDEX(הגדרות!$F$5:$F$11,WEEKDAY(B25)))</f>
        <v/>
      </c>
      <c r="D25" s="40" t="s">
        <v>84</v>
      </c>
      <c r="E25" s="41" t="s">
        <v>83</v>
      </c>
      <c r="F25" s="42" t="n">
        <f aca="false">IF(E25="לא",0,הגדרות!$C$23)</f>
        <v>1</v>
      </c>
      <c r="G25" s="43" t="n">
        <f aca="false">F25*הגדרות!$C$24</f>
        <v>50</v>
      </c>
      <c r="H25" s="44"/>
      <c r="I25" s="45"/>
      <c r="K25" s="27"/>
    </row>
    <row r="26" customFormat="false" ht="21.75" hidden="false" customHeight="true" outlineLevel="0" collapsed="false">
      <c r="A26" s="47" t="s">
        <v>85</v>
      </c>
      <c r="B26" s="47"/>
      <c r="C26" s="47"/>
      <c r="D26" s="47"/>
      <c r="E26" s="47"/>
      <c r="F26" s="48" t="n">
        <f aca="false">SUM(F15:F25)</f>
        <v>29</v>
      </c>
      <c r="G26" s="49" t="n">
        <f aca="false">SUM(G15:G25)</f>
        <v>1450</v>
      </c>
      <c r="H26" s="47"/>
      <c r="I26" s="49" t="n">
        <f aca="false">SUM(I15:I25)</f>
        <v>0</v>
      </c>
    </row>
    <row r="28" customFormat="false" ht="19.5" hidden="false" customHeight="true" outlineLevel="0" collapsed="false">
      <c r="A28" s="50" t="s">
        <v>86</v>
      </c>
      <c r="B28" s="50"/>
      <c r="C28" s="50"/>
      <c r="D28" s="50"/>
      <c r="F28" s="40" t="s">
        <v>87</v>
      </c>
      <c r="G28" s="40"/>
      <c r="H28" s="40"/>
      <c r="I28" s="42" t="n">
        <f aca="false">F26</f>
        <v>29</v>
      </c>
    </row>
    <row r="29" customFormat="false" ht="30" hidden="false" customHeight="true" outlineLevel="0" collapsed="false">
      <c r="A29" s="51" t="str">
        <f aca="false">"• "&amp;הגדרות!$C$17&amp;": ימי "&amp;הגדרות!$C$18&amp;" ו"&amp;הגדרות!$C$19&amp;", "&amp;TEXT(HOUR(הגדרות!$C$20),"00")&amp;":"&amp;TEXT(MINUTE(הגדרות!$C$20),"00")&amp;"–"&amp;TEXT(HOUR(הגדרות!$C$21),"00")&amp;":"&amp;TEXT(MINUTE(הגדרות!$C$21),"00")&amp;" ("&amp;הגדרות!$C$22&amp;" שעות ליום), וישיבת צוות חודשית ("&amp;הגדרות!$C$23&amp;" ש׳)."</f>
        <v>• הדרכת שיקום: ימי ראשון וחמישי, 09:00–12:30 (3.5 שעות ליום), וישיבת צוות חודשית (1 ש׳).</v>
      </c>
      <c r="B29" s="51"/>
      <c r="C29" s="51"/>
      <c r="D29" s="51"/>
      <c r="E29" s="51"/>
      <c r="F29" s="40" t="str">
        <f aca="false">"הדרכת שיקום ("&amp;TEXT(F26,"0.0")&amp;" שעות × "&amp;הגדרות!$C$24&amp;" ₪)"</f>
        <v>הדרכת שיקום (29.0 שעות × 50 ₪)</v>
      </c>
      <c r="G29" s="40"/>
      <c r="H29" s="40"/>
      <c r="I29" s="43" t="n">
        <f aca="false">G26</f>
        <v>1450</v>
      </c>
    </row>
    <row r="30" customFormat="false" ht="19.5" hidden="false" customHeight="true" outlineLevel="0" collapsed="false">
      <c r="A30" s="51" t="str">
        <f aca="false">IF(הגדרות!$C$28="","","• "&amp;הגדרות!$C$28)</f>
        <v>• התעריף השעתי אינו כולל מע״מ. מע״מ יתווסף כחוק.</v>
      </c>
      <c r="B30" s="51"/>
      <c r="C30" s="51"/>
      <c r="D30" s="51"/>
      <c r="E30" s="51"/>
      <c r="F30" s="40" t="s">
        <v>88</v>
      </c>
      <c r="G30" s="40"/>
      <c r="H30" s="40"/>
      <c r="I30" s="43" t="n">
        <f aca="false">I26</f>
        <v>0</v>
      </c>
    </row>
    <row r="31" customFormat="false" ht="19.5" hidden="false" customHeight="true" outlineLevel="0" collapsed="false">
      <c r="A31" s="51" t="str">
        <f aca="false">IF(הגדרות!$C$29="","","• "&amp;הגדרות!$C$29)</f>
        <v>• פרויקטים פרטיים מתומחרים בנפרד, לפי הזמנת החווה.</v>
      </c>
      <c r="B31" s="51"/>
      <c r="C31" s="51"/>
      <c r="D31" s="51"/>
      <c r="E31" s="51"/>
      <c r="F31" s="52" t="s">
        <v>89</v>
      </c>
      <c r="G31" s="52"/>
      <c r="H31" s="52"/>
      <c r="I31" s="53" t="n">
        <f aca="false">I29+I30</f>
        <v>1450</v>
      </c>
    </row>
    <row r="32" customFormat="false" ht="19.5" hidden="false" customHeight="true" outlineLevel="0" collapsed="false">
      <c r="A32" s="51" t="str">
        <f aca="false">IF(הגדרות!$C$30="","","• "&amp;הגדרות!$C$30)</f>
        <v/>
      </c>
      <c r="B32" s="51"/>
      <c r="C32" s="51"/>
      <c r="D32" s="51"/>
      <c r="E32" s="51"/>
      <c r="F32" s="40" t="str">
        <f aca="false">"מע״מ "&amp;ROUND(הגדרות!$C$25*100,1)&amp;"%"</f>
        <v>מע״מ 18%</v>
      </c>
      <c r="G32" s="40"/>
      <c r="H32" s="40"/>
      <c r="I32" s="43" t="n">
        <f aca="false">ROUND(I31*הגדרות!$C$25,2)</f>
        <v>261</v>
      </c>
    </row>
    <row r="33" customFormat="false" ht="24" hidden="false" customHeight="true" outlineLevel="0" collapsed="false">
      <c r="F33" s="54" t="s">
        <v>90</v>
      </c>
      <c r="G33" s="54"/>
      <c r="H33" s="54"/>
      <c r="I33" s="55" t="n">
        <f aca="false">I31+I32</f>
        <v>1711</v>
      </c>
    </row>
    <row r="36" customFormat="false" ht="15" hidden="false" customHeight="false" outlineLevel="0" collapsed="false">
      <c r="A36" s="56" t="str">
        <f aca="false">"בברכה, "&amp;הגדרות!$C$6</f>
        <v>בברכה, (למילוי)</v>
      </c>
      <c r="B36" s="56"/>
      <c r="C36" s="56"/>
      <c r="D36" s="56"/>
      <c r="F36" s="56" t="s">
        <v>91</v>
      </c>
      <c r="G36" s="56"/>
      <c r="H36" s="56"/>
      <c r="I36" s="56"/>
    </row>
  </sheetData>
  <mergeCells count="44">
    <mergeCell ref="A1:I1"/>
    <mergeCell ref="A2:I2"/>
    <mergeCell ref="A4:D4"/>
    <mergeCell ref="F4:I4"/>
    <mergeCell ref="A5:B5"/>
    <mergeCell ref="C5:D5"/>
    <mergeCell ref="F5:G5"/>
    <mergeCell ref="H5:I5"/>
    <mergeCell ref="A6:B6"/>
    <mergeCell ref="C6:D6"/>
    <mergeCell ref="F6:G6"/>
    <mergeCell ref="H6:I6"/>
    <mergeCell ref="A7:B7"/>
    <mergeCell ref="C7:D7"/>
    <mergeCell ref="F7:G7"/>
    <mergeCell ref="H7:I7"/>
    <mergeCell ref="A8:B8"/>
    <mergeCell ref="C8:D8"/>
    <mergeCell ref="A9:B9"/>
    <mergeCell ref="C9:D9"/>
    <mergeCell ref="A11:B11"/>
    <mergeCell ref="C11:D11"/>
    <mergeCell ref="F11:G11"/>
    <mergeCell ref="H11:I11"/>
    <mergeCell ref="A12:B12"/>
    <mergeCell ref="C12:D12"/>
    <mergeCell ref="F12:G12"/>
    <mergeCell ref="H12:I12"/>
    <mergeCell ref="A13:G13"/>
    <mergeCell ref="H13:I13"/>
    <mergeCell ref="A26:E26"/>
    <mergeCell ref="A28:D28"/>
    <mergeCell ref="F28:H28"/>
    <mergeCell ref="A29:E29"/>
    <mergeCell ref="F29:H29"/>
    <mergeCell ref="A30:E30"/>
    <mergeCell ref="F30:H30"/>
    <mergeCell ref="A31:E31"/>
    <mergeCell ref="F31:H31"/>
    <mergeCell ref="A32:E32"/>
    <mergeCell ref="F32:H32"/>
    <mergeCell ref="F33:H33"/>
    <mergeCell ref="A36:D36"/>
    <mergeCell ref="F36:I36"/>
  </mergeCells>
  <conditionalFormatting sqref="E15:E24">
    <cfRule type="expression" priority="2" aboveAverage="0" equalAverage="0" bottom="0" percent="0" rank="0" text="" dxfId="0">
      <formula>$B15=""</formula>
    </cfRule>
  </conditionalFormatting>
  <conditionalFormatting sqref="A15:G25">
    <cfRule type="expression" priority="3" aboveAverage="0" equalAverage="0" bottom="0" percent="0" rank="0" text="" dxfId="1">
      <formula>$E15="לא"</formula>
    </cfRule>
  </conditionalFormatting>
  <dataValidations count="1">
    <dataValidation allowBlank="true" errorStyle="stop" operator="between" showDropDown="false" showErrorMessage="false" showInputMessage="false" sqref="E15:E25" type="list">
      <formula1>"כן,לא"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true" outlineLevel="0" max="11" min="11" style="0" width="13"/>
  </cols>
  <sheetData>
    <row r="1" customFormat="false" ht="36" hidden="false" customHeight="true" outlineLevel="0" collapsed="false">
      <c r="A1" s="26" t="s">
        <v>67</v>
      </c>
      <c r="B1" s="26"/>
      <c r="C1" s="26"/>
      <c r="D1" s="26"/>
      <c r="E1" s="26"/>
      <c r="F1" s="26"/>
      <c r="G1" s="26"/>
      <c r="H1" s="26"/>
      <c r="I1" s="26"/>
      <c r="K1" s="27" t="n">
        <f aca="false">DATE(YEAR($H$11),MONTH($H$11),1)</f>
        <v>46447</v>
      </c>
    </row>
    <row r="2" customFormat="false" ht="24" hidden="false" customHeight="true" outlineLevel="0" collapsed="false">
      <c r="A2" s="28" t="str">
        <f aca="false">הגדרות!$C$17&amp;" · "&amp;CHOOSE(MONTH($K$1),"ינואר","פברואר","מרץ","אפריל","מאי","יוני","יולי","אוגוסט","ספטמבר","אוקטובר","נובמבר","דצמבר")&amp;" "&amp;YEAR($K$1)</f>
        <v>הדרכת שיקום · מרץ 2027</v>
      </c>
      <c r="B2" s="28"/>
      <c r="C2" s="28"/>
      <c r="D2" s="28"/>
      <c r="E2" s="28"/>
      <c r="F2" s="28"/>
      <c r="G2" s="28"/>
      <c r="H2" s="28"/>
      <c r="I2" s="28"/>
      <c r="K2" s="27" t="n">
        <f aca="false">EOMONTH($K$1,0)</f>
        <v>46477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9" t="s">
        <v>68</v>
      </c>
      <c r="B4" s="29"/>
      <c r="C4" s="29"/>
      <c r="D4" s="29"/>
      <c r="F4" s="29" t="s">
        <v>69</v>
      </c>
      <c r="G4" s="29"/>
      <c r="H4" s="29"/>
      <c r="I4" s="29"/>
    </row>
    <row r="5" customFormat="false" ht="15" hidden="false" customHeight="false" outlineLevel="0" collapsed="false">
      <c r="A5" s="30" t="s">
        <v>28</v>
      </c>
      <c r="B5" s="30"/>
      <c r="C5" s="31" t="str">
        <f aca="false">הגדרות!$C$5</f>
        <v>הנגרייה</v>
      </c>
      <c r="D5" s="31"/>
      <c r="F5" s="30" t="s">
        <v>44</v>
      </c>
      <c r="G5" s="30"/>
      <c r="H5" s="31" t="str">
        <f aca="false">הגדרות!$C$12</f>
        <v>חוות רום</v>
      </c>
      <c r="I5" s="31"/>
    </row>
    <row r="6" customFormat="false" ht="15" hidden="false" customHeight="false" outlineLevel="0" collapsed="false">
      <c r="A6" s="30" t="s">
        <v>31</v>
      </c>
      <c r="B6" s="30"/>
      <c r="C6" s="31" t="str">
        <f aca="false">הגדרות!$C$6</f>
        <v>(למילוי)</v>
      </c>
      <c r="D6" s="31"/>
      <c r="F6" s="30" t="s">
        <v>46</v>
      </c>
      <c r="G6" s="30"/>
      <c r="H6" s="31" t="str">
        <f aca="false">הגדרות!$C$13</f>
        <v>הר כמון</v>
      </c>
      <c r="I6" s="31"/>
    </row>
    <row r="7" customFormat="false" ht="15" hidden="false" customHeight="false" outlineLevel="0" collapsed="false">
      <c r="A7" s="30" t="s">
        <v>70</v>
      </c>
      <c r="B7" s="30"/>
      <c r="C7" s="31" t="str">
        <f aca="false">הגדרות!$C$7</f>
        <v>(למילוי)</v>
      </c>
      <c r="D7" s="31"/>
      <c r="F7" s="30" t="s">
        <v>48</v>
      </c>
      <c r="G7" s="30"/>
      <c r="H7" s="31" t="str">
        <f aca="false">הגדרות!$C$14</f>
        <v>(למילוי)</v>
      </c>
      <c r="I7" s="31"/>
    </row>
    <row r="8" customFormat="false" ht="15" hidden="false" customHeight="false" outlineLevel="0" collapsed="false">
      <c r="A8" s="30" t="s">
        <v>36</v>
      </c>
      <c r="B8" s="30"/>
      <c r="C8" s="31" t="str">
        <f aca="false">הגדרות!$C$8</f>
        <v>(למילוי)</v>
      </c>
      <c r="D8" s="31"/>
    </row>
    <row r="9" customFormat="false" ht="15" hidden="false" customHeight="false" outlineLevel="0" collapsed="false">
      <c r="A9" s="30" t="s">
        <v>38</v>
      </c>
      <c r="B9" s="30"/>
      <c r="C9" s="31" t="str">
        <f aca="false">הגדרות!$C$9</f>
        <v>nettaamit21@gmail.com</v>
      </c>
      <c r="D9" s="31"/>
    </row>
    <row r="10" customFormat="false" ht="9.75" hidden="false" customHeight="true" outlineLevel="0" collapsed="false"/>
    <row r="11" customFormat="false" ht="15" hidden="false" customHeight="false" outlineLevel="0" collapsed="false">
      <c r="A11" s="30" t="s">
        <v>71</v>
      </c>
      <c r="B11" s="30"/>
      <c r="C11" s="31" t="str">
        <f aca="false">YEAR($K$1)&amp;"-"&amp;TEXT(MONTH($K$1),"00")</f>
        <v>2027-03</v>
      </c>
      <c r="D11" s="31"/>
      <c r="F11" s="30" t="s">
        <v>72</v>
      </c>
      <c r="G11" s="30"/>
      <c r="H11" s="32" t="n">
        <v>46447</v>
      </c>
      <c r="I11" s="32"/>
    </row>
    <row r="12" customFormat="false" ht="15" hidden="false" customHeight="false" outlineLevel="0" collapsed="false">
      <c r="A12" s="30" t="s">
        <v>73</v>
      </c>
      <c r="B12" s="30"/>
      <c r="C12" s="33" t="n">
        <f aca="false">$K$2</f>
        <v>46477</v>
      </c>
      <c r="D12" s="33"/>
      <c r="F12" s="30" t="s">
        <v>74</v>
      </c>
      <c r="G12" s="30"/>
      <c r="H12" s="31" t="str">
        <f aca="false">הגדרות!$C$18&amp;" ו"&amp;הגדרות!$C$19&amp;", "&amp;TEXT(HOUR(הגדרות!$C$20),"00")&amp;":"&amp;TEXT(MINUTE(הגדרות!$C$20),"00")&amp;"–"&amp;TEXT(HOUR(הגדרות!$C$21),"00")&amp;":"&amp;TEXT(MINUTE(הגדרות!$C$21),"00")</f>
        <v>ראשון וחמישי, 09:00–12:30</v>
      </c>
      <c r="I12" s="31"/>
    </row>
    <row r="13" customFormat="false" ht="19.5" hidden="false" customHeight="true" outlineLevel="0" collapsed="false">
      <c r="A13" s="34" t="s">
        <v>75</v>
      </c>
      <c r="B13" s="34"/>
      <c r="C13" s="34"/>
      <c r="D13" s="34"/>
      <c r="E13" s="34"/>
      <c r="F13" s="34"/>
      <c r="G13" s="34"/>
      <c r="H13" s="35" t="s">
        <v>76</v>
      </c>
      <c r="I13" s="35"/>
    </row>
    <row r="14" customFormat="false" ht="27.75" hidden="false" customHeight="true" outlineLevel="0" collapsed="false">
      <c r="A14" s="36" t="s">
        <v>77</v>
      </c>
      <c r="B14" s="36" t="s">
        <v>73</v>
      </c>
      <c r="C14" s="36" t="s">
        <v>78</v>
      </c>
      <c r="D14" s="36" t="s">
        <v>79</v>
      </c>
      <c r="E14" s="36" t="s">
        <v>80</v>
      </c>
      <c r="F14" s="36" t="s">
        <v>81</v>
      </c>
      <c r="G14" s="36" t="s">
        <v>82</v>
      </c>
      <c r="H14" s="37" t="s">
        <v>21</v>
      </c>
      <c r="I14" s="37" t="s">
        <v>22</v>
      </c>
    </row>
    <row r="15" customFormat="false" ht="19.5" hidden="false" customHeight="true" outlineLevel="0" collapsed="false">
      <c r="A15" s="38" t="n">
        <f aca="false">IF(B15="","",ROW()-14)</f>
        <v>1</v>
      </c>
      <c r="B15" s="39" t="n">
        <f aca="false">$K$1+MIN(MOD(הגדרות!$D$18-WEEKDAY($K$1),7),MOD(הגדרות!$D$19-WEEKDAY($K$1),7))</f>
        <v>46450</v>
      </c>
      <c r="C15" s="38" t="str">
        <f aca="false">IF(B15="","",INDEX(הגדרות!$F$5:$F$11,WEEKDAY(B15)))</f>
        <v>חמישי</v>
      </c>
      <c r="D15" s="40" t="str">
        <f aca="false">IF(B15="","","הדרכה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5" s="41" t="s">
        <v>83</v>
      </c>
      <c r="F15" s="42" t="n">
        <f aca="false">IF(B15="","",IF(E15="לא",0,הגדרות!$C$22))</f>
        <v>3.5</v>
      </c>
      <c r="G15" s="43" t="n">
        <f aca="false">IF(B15="","",F15*הגדרות!$C$24)</f>
        <v>175</v>
      </c>
      <c r="H15" s="44"/>
      <c r="I15" s="45"/>
      <c r="K15" s="27" t="n">
        <f aca="false">IF(B15="","",B15+MIN(MOD(הגדרות!$D$18-WEEKDAY(B15)-1,7)+1,MOD(הגדרות!$D$19-WEEKDAY(B15)-1,7)+1))</f>
        <v>46453</v>
      </c>
    </row>
    <row r="16" customFormat="false" ht="19.5" hidden="false" customHeight="true" outlineLevel="0" collapsed="false">
      <c r="A16" s="38" t="n">
        <f aca="false">IF(B16="","",ROW()-14)</f>
        <v>2</v>
      </c>
      <c r="B16" s="39" t="n">
        <f aca="false">IF(K15="","",IF(K15&gt;$K$2,"",K15))</f>
        <v>46453</v>
      </c>
      <c r="C16" s="38" t="str">
        <f aca="false">IF(B16="","",INDEX(הגדרות!$F$5:$F$11,WEEKDAY(B16)))</f>
        <v>ראשון</v>
      </c>
      <c r="D16" s="40" t="str">
        <f aca="false">IF(B16="","","הדרכה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6" s="41" t="s">
        <v>83</v>
      </c>
      <c r="F16" s="42" t="n">
        <f aca="false">IF(B16="","",IF(E16="לא",0,הגדרות!$C$22))</f>
        <v>3.5</v>
      </c>
      <c r="G16" s="43" t="n">
        <f aca="false">IF(B16="","",F16*הגדרות!$C$24)</f>
        <v>175</v>
      </c>
      <c r="H16" s="44"/>
      <c r="I16" s="45"/>
      <c r="K16" s="27" t="n">
        <f aca="false">IF(B16="","",B16+MIN(MOD(הגדרות!$D$18-WEEKDAY(B16)-1,7)+1,MOD(הגדרות!$D$19-WEEKDAY(B16)-1,7)+1))</f>
        <v>46457</v>
      </c>
    </row>
    <row r="17" customFormat="false" ht="19.5" hidden="false" customHeight="true" outlineLevel="0" collapsed="false">
      <c r="A17" s="38" t="n">
        <f aca="false">IF(B17="","",ROW()-14)</f>
        <v>3</v>
      </c>
      <c r="B17" s="39" t="n">
        <f aca="false">IF(K16="","",IF(K16&gt;$K$2,"",K16))</f>
        <v>46457</v>
      </c>
      <c r="C17" s="38" t="str">
        <f aca="false">IF(B17="","",INDEX(הגדרות!$F$5:$F$11,WEEKDAY(B17)))</f>
        <v>חמישי</v>
      </c>
      <c r="D17" s="40" t="str">
        <f aca="false">IF(B17="","","הדרכה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7" s="41" t="s">
        <v>83</v>
      </c>
      <c r="F17" s="42" t="n">
        <f aca="false">IF(B17="","",IF(E17="לא",0,הגדרות!$C$22))</f>
        <v>3.5</v>
      </c>
      <c r="G17" s="43" t="n">
        <f aca="false">IF(B17="","",F17*הגדרות!$C$24)</f>
        <v>175</v>
      </c>
      <c r="H17" s="44"/>
      <c r="I17" s="45"/>
      <c r="K17" s="27" t="n">
        <f aca="false">IF(B17="","",B17+MIN(MOD(הגדרות!$D$18-WEEKDAY(B17)-1,7)+1,MOD(הגדרות!$D$19-WEEKDAY(B17)-1,7)+1))</f>
        <v>46460</v>
      </c>
    </row>
    <row r="18" customFormat="false" ht="19.5" hidden="false" customHeight="true" outlineLevel="0" collapsed="false">
      <c r="A18" s="38" t="n">
        <f aca="false">IF(B18="","",ROW()-14)</f>
        <v>4</v>
      </c>
      <c r="B18" s="39" t="n">
        <f aca="false">IF(K17="","",IF(K17&gt;$K$2,"",K17))</f>
        <v>46460</v>
      </c>
      <c r="C18" s="38" t="str">
        <f aca="false">IF(B18="","",INDEX(הגדרות!$F$5:$F$11,WEEKDAY(B18)))</f>
        <v>ראשון</v>
      </c>
      <c r="D18" s="40" t="str">
        <f aca="false">IF(B18="","","הדרכה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8" s="41" t="s">
        <v>83</v>
      </c>
      <c r="F18" s="42" t="n">
        <f aca="false">IF(B18="","",IF(E18="לא",0,הגדרות!$C$22))</f>
        <v>3.5</v>
      </c>
      <c r="G18" s="43" t="n">
        <f aca="false">IF(B18="","",F18*הגדרות!$C$24)</f>
        <v>175</v>
      </c>
      <c r="H18" s="44"/>
      <c r="I18" s="45"/>
      <c r="K18" s="27" t="n">
        <f aca="false">IF(B18="","",B18+MIN(MOD(הגדרות!$D$18-WEEKDAY(B18)-1,7)+1,MOD(הגדרות!$D$19-WEEKDAY(B18)-1,7)+1))</f>
        <v>46464</v>
      </c>
    </row>
    <row r="19" customFormat="false" ht="19.5" hidden="false" customHeight="true" outlineLevel="0" collapsed="false">
      <c r="A19" s="38" t="n">
        <f aca="false">IF(B19="","",ROW()-14)</f>
        <v>5</v>
      </c>
      <c r="B19" s="39" t="n">
        <f aca="false">IF(K18="","",IF(K18&gt;$K$2,"",K18))</f>
        <v>46464</v>
      </c>
      <c r="C19" s="38" t="str">
        <f aca="false">IF(B19="","",INDEX(הגדרות!$F$5:$F$11,WEEKDAY(B19)))</f>
        <v>חמישי</v>
      </c>
      <c r="D19" s="40" t="str">
        <f aca="false">IF(B19="","","הדרכה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9" s="41" t="s">
        <v>83</v>
      </c>
      <c r="F19" s="42" t="n">
        <f aca="false">IF(B19="","",IF(E19="לא",0,הגדרות!$C$22))</f>
        <v>3.5</v>
      </c>
      <c r="G19" s="43" t="n">
        <f aca="false">IF(B19="","",F19*הגדרות!$C$24)</f>
        <v>175</v>
      </c>
      <c r="H19" s="44"/>
      <c r="I19" s="45"/>
      <c r="K19" s="27" t="n">
        <f aca="false">IF(B19="","",B19+MIN(MOD(הגדרות!$D$18-WEEKDAY(B19)-1,7)+1,MOD(הגדרות!$D$19-WEEKDAY(B19)-1,7)+1))</f>
        <v>46467</v>
      </c>
    </row>
    <row r="20" customFormat="false" ht="19.5" hidden="false" customHeight="true" outlineLevel="0" collapsed="false">
      <c r="A20" s="38" t="n">
        <f aca="false">IF(B20="","",ROW()-14)</f>
        <v>6</v>
      </c>
      <c r="B20" s="39" t="n">
        <f aca="false">IF(K19="","",IF(K19&gt;$K$2,"",K19))</f>
        <v>46467</v>
      </c>
      <c r="C20" s="38" t="str">
        <f aca="false">IF(B20="","",INDEX(הגדרות!$F$5:$F$11,WEEKDAY(B20)))</f>
        <v>ראשון</v>
      </c>
      <c r="D20" s="40" t="str">
        <f aca="false">IF(B20="","","הדרכה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0" s="41" t="s">
        <v>83</v>
      </c>
      <c r="F20" s="42" t="n">
        <f aca="false">IF(B20="","",IF(E20="לא",0,הגדרות!$C$22))</f>
        <v>3.5</v>
      </c>
      <c r="G20" s="43" t="n">
        <f aca="false">IF(B20="","",F20*הגדרות!$C$24)</f>
        <v>175</v>
      </c>
      <c r="H20" s="44"/>
      <c r="I20" s="45"/>
      <c r="K20" s="27" t="n">
        <f aca="false">IF(B20="","",B20+MIN(MOD(הגדרות!$D$18-WEEKDAY(B20)-1,7)+1,MOD(הגדרות!$D$19-WEEKDAY(B20)-1,7)+1))</f>
        <v>46471</v>
      </c>
    </row>
    <row r="21" customFormat="false" ht="19.5" hidden="false" customHeight="true" outlineLevel="0" collapsed="false">
      <c r="A21" s="38" t="n">
        <f aca="false">IF(B21="","",ROW()-14)</f>
        <v>7</v>
      </c>
      <c r="B21" s="39" t="n">
        <f aca="false">IF(K20="","",IF(K20&gt;$K$2,"",K20))</f>
        <v>46471</v>
      </c>
      <c r="C21" s="38" t="str">
        <f aca="false">IF(B21="","",INDEX(הגדרות!$F$5:$F$11,WEEKDAY(B21)))</f>
        <v>חמישי</v>
      </c>
      <c r="D21" s="40" t="str">
        <f aca="false">IF(B21="","","הדרכה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1" s="41" t="s">
        <v>83</v>
      </c>
      <c r="F21" s="42" t="n">
        <f aca="false">IF(B21="","",IF(E21="לא",0,הגדרות!$C$22))</f>
        <v>3.5</v>
      </c>
      <c r="G21" s="43" t="n">
        <f aca="false">IF(B21="","",F21*הגדרות!$C$24)</f>
        <v>175</v>
      </c>
      <c r="H21" s="44"/>
      <c r="I21" s="45"/>
      <c r="K21" s="27" t="n">
        <f aca="false">IF(B21="","",B21+MIN(MOD(הגדרות!$D$18-WEEKDAY(B21)-1,7)+1,MOD(הגדרות!$D$19-WEEKDAY(B21)-1,7)+1))</f>
        <v>46474</v>
      </c>
    </row>
    <row r="22" customFormat="false" ht="19.5" hidden="false" customHeight="true" outlineLevel="0" collapsed="false">
      <c r="A22" s="38" t="n">
        <f aca="false">IF(B22="","",ROW()-14)</f>
        <v>8</v>
      </c>
      <c r="B22" s="39" t="n">
        <f aca="false">IF(K21="","",IF(K21&gt;$K$2,"",K21))</f>
        <v>46474</v>
      </c>
      <c r="C22" s="38" t="str">
        <f aca="false">IF(B22="","",INDEX(הגדרות!$F$5:$F$11,WEEKDAY(B22)))</f>
        <v>ראשון</v>
      </c>
      <c r="D22" s="40" t="str">
        <f aca="false">IF(B22="","","הדרכה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2" s="41" t="s">
        <v>83</v>
      </c>
      <c r="F22" s="42" t="n">
        <f aca="false">IF(B22="","",IF(E22="לא",0,הגדרות!$C$22))</f>
        <v>3.5</v>
      </c>
      <c r="G22" s="43" t="n">
        <f aca="false">IF(B22="","",F22*הגדרות!$C$24)</f>
        <v>175</v>
      </c>
      <c r="H22" s="44"/>
      <c r="I22" s="45"/>
      <c r="K22" s="27" t="n">
        <f aca="false">IF(B22="","",B22+MIN(MOD(הגדרות!$D$18-WEEKDAY(B22)-1,7)+1,MOD(הגדרות!$D$19-WEEKDAY(B22)-1,7)+1))</f>
        <v>46478</v>
      </c>
    </row>
    <row r="23" customFormat="false" ht="19.5" hidden="false" customHeight="true" outlineLevel="0" collapsed="false">
      <c r="A23" s="38" t="str">
        <f aca="false">IF(B23="","",ROW()-14)</f>
        <v/>
      </c>
      <c r="B23" s="39" t="str">
        <f aca="false">IF(K22="","",IF(K22&gt;$K$2,"",K22))</f>
        <v/>
      </c>
      <c r="C23" s="38" t="str">
        <f aca="false">IF(B23="","",INDEX(הגדרות!$F$5:$F$11,WEEKDAY(B23)))</f>
        <v/>
      </c>
      <c r="D23" s="40" t="str">
        <f aca="false">IF(B23="","","הדרכה "&amp;TEXT(HOUR(הגדרות!$C$20),"00")&amp;":"&amp;TEXT(MINUTE(הגדרות!$C$20),"00")&amp;"–"&amp;TEXT(HOUR(הגדרות!$C$21),"00")&amp;":"&amp;TEXT(MINUTE(הגדרות!$C$21),"00"))</f>
        <v/>
      </c>
      <c r="E23" s="41" t="s">
        <v>83</v>
      </c>
      <c r="F23" s="42" t="str">
        <f aca="false">IF(B23="","",IF(E23="לא",0,הגדרות!$C$22))</f>
        <v/>
      </c>
      <c r="G23" s="43" t="str">
        <f aca="false">IF(B23="","",F23*הגדרות!$C$24)</f>
        <v/>
      </c>
      <c r="H23" s="44"/>
      <c r="I23" s="45"/>
      <c r="K23" s="27" t="str">
        <f aca="false">IF(B23="","",B23+MIN(MOD(הגדרות!$D$18-WEEKDAY(B23)-1,7)+1,MOD(הגדרות!$D$19-WEEKDAY(B23)-1,7)+1))</f>
        <v/>
      </c>
    </row>
    <row r="24" customFormat="false" ht="19.5" hidden="false" customHeight="true" outlineLevel="0" collapsed="false">
      <c r="A24" s="38" t="str">
        <f aca="false">IF(B24="","",ROW()-14)</f>
        <v/>
      </c>
      <c r="B24" s="39" t="str">
        <f aca="false">IF(K23="","",IF(K23&gt;$K$2,"",K23))</f>
        <v/>
      </c>
      <c r="C24" s="38" t="str">
        <f aca="false">IF(B24="","",INDEX(הגדרות!$F$5:$F$11,WEEKDAY(B24)))</f>
        <v/>
      </c>
      <c r="D24" s="40" t="str">
        <f aca="false">IF(B24="","","הדרכה "&amp;TEXT(HOUR(הגדרות!$C$20),"00")&amp;":"&amp;TEXT(MINUTE(הגדרות!$C$20),"00")&amp;"–"&amp;TEXT(HOUR(הגדרות!$C$21),"00")&amp;":"&amp;TEXT(MINUTE(הגדרות!$C$21),"00"))</f>
        <v/>
      </c>
      <c r="E24" s="41" t="s">
        <v>83</v>
      </c>
      <c r="F24" s="42" t="str">
        <f aca="false">IF(B24="","",IF(E24="לא",0,הגדרות!$C$22))</f>
        <v/>
      </c>
      <c r="G24" s="43" t="str">
        <f aca="false">IF(B24="","",F24*הגדרות!$C$24)</f>
        <v/>
      </c>
      <c r="H24" s="44"/>
      <c r="I24" s="45"/>
      <c r="K24" s="27" t="str">
        <f aca="false">IF(B24="","",B24+MIN(MOD(הגדרות!$D$18-WEEKDAY(B24)-1,7)+1,MOD(הגדרות!$D$19-WEEKDAY(B24)-1,7)+1))</f>
        <v/>
      </c>
    </row>
    <row r="25" customFormat="false" ht="19.5" hidden="false" customHeight="true" outlineLevel="0" collapsed="false">
      <c r="A25" s="38" t="n">
        <f aca="false">COUNT($B$15:$B$24)+1</f>
        <v>9</v>
      </c>
      <c r="B25" s="46"/>
      <c r="C25" s="38" t="str">
        <f aca="false">IF(B25="","",INDEX(הגדרות!$F$5:$F$11,WEEKDAY(B25)))</f>
        <v/>
      </c>
      <c r="D25" s="40" t="s">
        <v>84</v>
      </c>
      <c r="E25" s="41" t="s">
        <v>83</v>
      </c>
      <c r="F25" s="42" t="n">
        <f aca="false">IF(E25="לא",0,הגדרות!$C$23)</f>
        <v>1</v>
      </c>
      <c r="G25" s="43" t="n">
        <f aca="false">F25*הגדרות!$C$24</f>
        <v>50</v>
      </c>
      <c r="H25" s="44"/>
      <c r="I25" s="45"/>
      <c r="K25" s="27"/>
    </row>
    <row r="26" customFormat="false" ht="21.75" hidden="false" customHeight="true" outlineLevel="0" collapsed="false">
      <c r="A26" s="47" t="s">
        <v>85</v>
      </c>
      <c r="B26" s="47"/>
      <c r="C26" s="47"/>
      <c r="D26" s="47"/>
      <c r="E26" s="47"/>
      <c r="F26" s="48" t="n">
        <f aca="false">SUM(F15:F25)</f>
        <v>29</v>
      </c>
      <c r="G26" s="49" t="n">
        <f aca="false">SUM(G15:G25)</f>
        <v>1450</v>
      </c>
      <c r="H26" s="47"/>
      <c r="I26" s="49" t="n">
        <f aca="false">SUM(I15:I25)</f>
        <v>0</v>
      </c>
    </row>
    <row r="28" customFormat="false" ht="19.5" hidden="false" customHeight="true" outlineLevel="0" collapsed="false">
      <c r="A28" s="50" t="s">
        <v>86</v>
      </c>
      <c r="B28" s="50"/>
      <c r="C28" s="50"/>
      <c r="D28" s="50"/>
      <c r="F28" s="40" t="s">
        <v>87</v>
      </c>
      <c r="G28" s="40"/>
      <c r="H28" s="40"/>
      <c r="I28" s="42" t="n">
        <f aca="false">F26</f>
        <v>29</v>
      </c>
    </row>
    <row r="29" customFormat="false" ht="30" hidden="false" customHeight="true" outlineLevel="0" collapsed="false">
      <c r="A29" s="51" t="str">
        <f aca="false">"• "&amp;הגדרות!$C$17&amp;": ימי "&amp;הגדרות!$C$18&amp;" ו"&amp;הגדרות!$C$19&amp;", "&amp;TEXT(HOUR(הגדרות!$C$20),"00")&amp;":"&amp;TEXT(MINUTE(הגדרות!$C$20),"00")&amp;"–"&amp;TEXT(HOUR(הגדרות!$C$21),"00")&amp;":"&amp;TEXT(MINUTE(הגדרות!$C$21),"00")&amp;" ("&amp;הגדרות!$C$22&amp;" שעות ליום), וישיבת צוות חודשית ("&amp;הגדרות!$C$23&amp;" ש׳)."</f>
        <v>• הדרכת שיקום: ימי ראשון וחמישי, 09:00–12:30 (3.5 שעות ליום), וישיבת צוות חודשית (1 ש׳).</v>
      </c>
      <c r="B29" s="51"/>
      <c r="C29" s="51"/>
      <c r="D29" s="51"/>
      <c r="E29" s="51"/>
      <c r="F29" s="40" t="str">
        <f aca="false">"הדרכת שיקום ("&amp;TEXT(F26,"0.0")&amp;" שעות × "&amp;הגדרות!$C$24&amp;" ₪)"</f>
        <v>הדרכת שיקום (29.0 שעות × 50 ₪)</v>
      </c>
      <c r="G29" s="40"/>
      <c r="H29" s="40"/>
      <c r="I29" s="43" t="n">
        <f aca="false">G26</f>
        <v>1450</v>
      </c>
    </row>
    <row r="30" customFormat="false" ht="19.5" hidden="false" customHeight="true" outlineLevel="0" collapsed="false">
      <c r="A30" s="51" t="str">
        <f aca="false">IF(הגדרות!$C$28="","","• "&amp;הגדרות!$C$28)</f>
        <v>• התעריף השעתי אינו כולל מע״מ. מע״מ יתווסף כחוק.</v>
      </c>
      <c r="B30" s="51"/>
      <c r="C30" s="51"/>
      <c r="D30" s="51"/>
      <c r="E30" s="51"/>
      <c r="F30" s="40" t="s">
        <v>88</v>
      </c>
      <c r="G30" s="40"/>
      <c r="H30" s="40"/>
      <c r="I30" s="43" t="n">
        <f aca="false">I26</f>
        <v>0</v>
      </c>
    </row>
    <row r="31" customFormat="false" ht="19.5" hidden="false" customHeight="true" outlineLevel="0" collapsed="false">
      <c r="A31" s="51" t="str">
        <f aca="false">IF(הגדרות!$C$29="","","• "&amp;הגדרות!$C$29)</f>
        <v>• פרויקטים פרטיים מתומחרים בנפרד, לפי הזמנת החווה.</v>
      </c>
      <c r="B31" s="51"/>
      <c r="C31" s="51"/>
      <c r="D31" s="51"/>
      <c r="E31" s="51"/>
      <c r="F31" s="52" t="s">
        <v>89</v>
      </c>
      <c r="G31" s="52"/>
      <c r="H31" s="52"/>
      <c r="I31" s="53" t="n">
        <f aca="false">I29+I30</f>
        <v>1450</v>
      </c>
    </row>
    <row r="32" customFormat="false" ht="19.5" hidden="false" customHeight="true" outlineLevel="0" collapsed="false">
      <c r="A32" s="51" t="str">
        <f aca="false">IF(הגדרות!$C$30="","","• "&amp;הגדרות!$C$30)</f>
        <v/>
      </c>
      <c r="B32" s="51"/>
      <c r="C32" s="51"/>
      <c r="D32" s="51"/>
      <c r="E32" s="51"/>
      <c r="F32" s="40" t="str">
        <f aca="false">"מע״מ "&amp;ROUND(הגדרות!$C$25*100,1)&amp;"%"</f>
        <v>מע״מ 18%</v>
      </c>
      <c r="G32" s="40"/>
      <c r="H32" s="40"/>
      <c r="I32" s="43" t="n">
        <f aca="false">ROUND(I31*הגדרות!$C$25,2)</f>
        <v>261</v>
      </c>
    </row>
    <row r="33" customFormat="false" ht="24" hidden="false" customHeight="true" outlineLevel="0" collapsed="false">
      <c r="F33" s="54" t="s">
        <v>90</v>
      </c>
      <c r="G33" s="54"/>
      <c r="H33" s="54"/>
      <c r="I33" s="55" t="n">
        <f aca="false">I31+I32</f>
        <v>1711</v>
      </c>
    </row>
    <row r="36" customFormat="false" ht="15" hidden="false" customHeight="false" outlineLevel="0" collapsed="false">
      <c r="A36" s="56" t="str">
        <f aca="false">"בברכה, "&amp;הגדרות!$C$6</f>
        <v>בברכה, (למילוי)</v>
      </c>
      <c r="B36" s="56"/>
      <c r="C36" s="56"/>
      <c r="D36" s="56"/>
      <c r="F36" s="56" t="s">
        <v>91</v>
      </c>
      <c r="G36" s="56"/>
      <c r="H36" s="56"/>
      <c r="I36" s="56"/>
    </row>
  </sheetData>
  <mergeCells count="44">
    <mergeCell ref="A1:I1"/>
    <mergeCell ref="A2:I2"/>
    <mergeCell ref="A4:D4"/>
    <mergeCell ref="F4:I4"/>
    <mergeCell ref="A5:B5"/>
    <mergeCell ref="C5:D5"/>
    <mergeCell ref="F5:G5"/>
    <mergeCell ref="H5:I5"/>
    <mergeCell ref="A6:B6"/>
    <mergeCell ref="C6:D6"/>
    <mergeCell ref="F6:G6"/>
    <mergeCell ref="H6:I6"/>
    <mergeCell ref="A7:B7"/>
    <mergeCell ref="C7:D7"/>
    <mergeCell ref="F7:G7"/>
    <mergeCell ref="H7:I7"/>
    <mergeCell ref="A8:B8"/>
    <mergeCell ref="C8:D8"/>
    <mergeCell ref="A9:B9"/>
    <mergeCell ref="C9:D9"/>
    <mergeCell ref="A11:B11"/>
    <mergeCell ref="C11:D11"/>
    <mergeCell ref="F11:G11"/>
    <mergeCell ref="H11:I11"/>
    <mergeCell ref="A12:B12"/>
    <mergeCell ref="C12:D12"/>
    <mergeCell ref="F12:G12"/>
    <mergeCell ref="H12:I12"/>
    <mergeCell ref="A13:G13"/>
    <mergeCell ref="H13:I13"/>
    <mergeCell ref="A26:E26"/>
    <mergeCell ref="A28:D28"/>
    <mergeCell ref="F28:H28"/>
    <mergeCell ref="A29:E29"/>
    <mergeCell ref="F29:H29"/>
    <mergeCell ref="A30:E30"/>
    <mergeCell ref="F30:H30"/>
    <mergeCell ref="A31:E31"/>
    <mergeCell ref="F31:H31"/>
    <mergeCell ref="A32:E32"/>
    <mergeCell ref="F32:H32"/>
    <mergeCell ref="F33:H33"/>
    <mergeCell ref="A36:D36"/>
    <mergeCell ref="F36:I36"/>
  </mergeCells>
  <conditionalFormatting sqref="E15:E24">
    <cfRule type="expression" priority="2" aboveAverage="0" equalAverage="0" bottom="0" percent="0" rank="0" text="" dxfId="0">
      <formula>$B15=""</formula>
    </cfRule>
  </conditionalFormatting>
  <conditionalFormatting sqref="A15:G25">
    <cfRule type="expression" priority="3" aboveAverage="0" equalAverage="0" bottom="0" percent="0" rank="0" text="" dxfId="1">
      <formula>$E15="לא"</formula>
    </cfRule>
  </conditionalFormatting>
  <dataValidations count="1">
    <dataValidation allowBlank="true" errorStyle="stop" operator="between" showDropDown="false" showErrorMessage="false" showInputMessage="false" sqref="E15:E25" type="list">
      <formula1>"כן,לא"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true" outlineLevel="0" max="11" min="11" style="0" width="13"/>
  </cols>
  <sheetData>
    <row r="1" customFormat="false" ht="36" hidden="false" customHeight="true" outlineLevel="0" collapsed="false">
      <c r="A1" s="26" t="s">
        <v>67</v>
      </c>
      <c r="B1" s="26"/>
      <c r="C1" s="26"/>
      <c r="D1" s="26"/>
      <c r="E1" s="26"/>
      <c r="F1" s="26"/>
      <c r="G1" s="26"/>
      <c r="H1" s="26"/>
      <c r="I1" s="26"/>
      <c r="K1" s="27" t="n">
        <f aca="false">DATE(YEAR($H$11),MONTH($H$11),1)</f>
        <v>46478</v>
      </c>
    </row>
    <row r="2" customFormat="false" ht="24" hidden="false" customHeight="true" outlineLevel="0" collapsed="false">
      <c r="A2" s="28" t="str">
        <f aca="false">הגדרות!$C$17&amp;" · "&amp;CHOOSE(MONTH($K$1),"ינואר","פברואר","מרץ","אפריל","מאי","יוני","יולי","אוגוסט","ספטמבר","אוקטובר","נובמבר","דצמבר")&amp;" "&amp;YEAR($K$1)</f>
        <v>הדרכת שיקום · אפריל 2027</v>
      </c>
      <c r="B2" s="28"/>
      <c r="C2" s="28"/>
      <c r="D2" s="28"/>
      <c r="E2" s="28"/>
      <c r="F2" s="28"/>
      <c r="G2" s="28"/>
      <c r="H2" s="28"/>
      <c r="I2" s="28"/>
      <c r="K2" s="27" t="n">
        <f aca="false">EOMONTH($K$1,0)</f>
        <v>46507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9" t="s">
        <v>68</v>
      </c>
      <c r="B4" s="29"/>
      <c r="C4" s="29"/>
      <c r="D4" s="29"/>
      <c r="F4" s="29" t="s">
        <v>69</v>
      </c>
      <c r="G4" s="29"/>
      <c r="H4" s="29"/>
      <c r="I4" s="29"/>
    </row>
    <row r="5" customFormat="false" ht="15" hidden="false" customHeight="false" outlineLevel="0" collapsed="false">
      <c r="A5" s="30" t="s">
        <v>28</v>
      </c>
      <c r="B5" s="30"/>
      <c r="C5" s="31" t="str">
        <f aca="false">הגדרות!$C$5</f>
        <v>הנגרייה</v>
      </c>
      <c r="D5" s="31"/>
      <c r="F5" s="30" t="s">
        <v>44</v>
      </c>
      <c r="G5" s="30"/>
      <c r="H5" s="31" t="str">
        <f aca="false">הגדרות!$C$12</f>
        <v>חוות רום</v>
      </c>
      <c r="I5" s="31"/>
    </row>
    <row r="6" customFormat="false" ht="15" hidden="false" customHeight="false" outlineLevel="0" collapsed="false">
      <c r="A6" s="30" t="s">
        <v>31</v>
      </c>
      <c r="B6" s="30"/>
      <c r="C6" s="31" t="str">
        <f aca="false">הגדרות!$C$6</f>
        <v>(למילוי)</v>
      </c>
      <c r="D6" s="31"/>
      <c r="F6" s="30" t="s">
        <v>46</v>
      </c>
      <c r="G6" s="30"/>
      <c r="H6" s="31" t="str">
        <f aca="false">הגדרות!$C$13</f>
        <v>הר כמון</v>
      </c>
      <c r="I6" s="31"/>
    </row>
    <row r="7" customFormat="false" ht="15" hidden="false" customHeight="false" outlineLevel="0" collapsed="false">
      <c r="A7" s="30" t="s">
        <v>70</v>
      </c>
      <c r="B7" s="30"/>
      <c r="C7" s="31" t="str">
        <f aca="false">הגדרות!$C$7</f>
        <v>(למילוי)</v>
      </c>
      <c r="D7" s="31"/>
      <c r="F7" s="30" t="s">
        <v>48</v>
      </c>
      <c r="G7" s="30"/>
      <c r="H7" s="31" t="str">
        <f aca="false">הגדרות!$C$14</f>
        <v>(למילוי)</v>
      </c>
      <c r="I7" s="31"/>
    </row>
    <row r="8" customFormat="false" ht="15" hidden="false" customHeight="false" outlineLevel="0" collapsed="false">
      <c r="A8" s="30" t="s">
        <v>36</v>
      </c>
      <c r="B8" s="30"/>
      <c r="C8" s="31" t="str">
        <f aca="false">הגדרות!$C$8</f>
        <v>(למילוי)</v>
      </c>
      <c r="D8" s="31"/>
    </row>
    <row r="9" customFormat="false" ht="15" hidden="false" customHeight="false" outlineLevel="0" collapsed="false">
      <c r="A9" s="30" t="s">
        <v>38</v>
      </c>
      <c r="B9" s="30"/>
      <c r="C9" s="31" t="str">
        <f aca="false">הגדרות!$C$9</f>
        <v>nettaamit21@gmail.com</v>
      </c>
      <c r="D9" s="31"/>
    </row>
    <row r="10" customFormat="false" ht="9.75" hidden="false" customHeight="true" outlineLevel="0" collapsed="false"/>
    <row r="11" customFormat="false" ht="15" hidden="false" customHeight="false" outlineLevel="0" collapsed="false">
      <c r="A11" s="30" t="s">
        <v>71</v>
      </c>
      <c r="B11" s="30"/>
      <c r="C11" s="31" t="str">
        <f aca="false">YEAR($K$1)&amp;"-"&amp;TEXT(MONTH($K$1),"00")</f>
        <v>2027-04</v>
      </c>
      <c r="D11" s="31"/>
      <c r="F11" s="30" t="s">
        <v>72</v>
      </c>
      <c r="G11" s="30"/>
      <c r="H11" s="32" t="n">
        <v>46478</v>
      </c>
      <c r="I11" s="32"/>
    </row>
    <row r="12" customFormat="false" ht="15" hidden="false" customHeight="false" outlineLevel="0" collapsed="false">
      <c r="A12" s="30" t="s">
        <v>73</v>
      </c>
      <c r="B12" s="30"/>
      <c r="C12" s="33" t="n">
        <f aca="false">$K$2</f>
        <v>46507</v>
      </c>
      <c r="D12" s="33"/>
      <c r="F12" s="30" t="s">
        <v>74</v>
      </c>
      <c r="G12" s="30"/>
      <c r="H12" s="31" t="str">
        <f aca="false">הגדרות!$C$18&amp;" ו"&amp;הגדרות!$C$19&amp;", "&amp;TEXT(HOUR(הגדרות!$C$20),"00")&amp;":"&amp;TEXT(MINUTE(הגדרות!$C$20),"00")&amp;"–"&amp;TEXT(HOUR(הגדרות!$C$21),"00")&amp;":"&amp;TEXT(MINUTE(הגדרות!$C$21),"00")</f>
        <v>ראשון וחמישי, 09:00–12:30</v>
      </c>
      <c r="I12" s="31"/>
    </row>
    <row r="13" customFormat="false" ht="19.5" hidden="false" customHeight="true" outlineLevel="0" collapsed="false">
      <c r="A13" s="34" t="s">
        <v>75</v>
      </c>
      <c r="B13" s="34"/>
      <c r="C13" s="34"/>
      <c r="D13" s="34"/>
      <c r="E13" s="34"/>
      <c r="F13" s="34"/>
      <c r="G13" s="34"/>
      <c r="H13" s="35" t="s">
        <v>76</v>
      </c>
      <c r="I13" s="35"/>
    </row>
    <row r="14" customFormat="false" ht="27.75" hidden="false" customHeight="true" outlineLevel="0" collapsed="false">
      <c r="A14" s="36" t="s">
        <v>77</v>
      </c>
      <c r="B14" s="36" t="s">
        <v>73</v>
      </c>
      <c r="C14" s="36" t="s">
        <v>78</v>
      </c>
      <c r="D14" s="36" t="s">
        <v>79</v>
      </c>
      <c r="E14" s="36" t="s">
        <v>80</v>
      </c>
      <c r="F14" s="36" t="s">
        <v>81</v>
      </c>
      <c r="G14" s="36" t="s">
        <v>82</v>
      </c>
      <c r="H14" s="37" t="s">
        <v>21</v>
      </c>
      <c r="I14" s="37" t="s">
        <v>22</v>
      </c>
    </row>
    <row r="15" customFormat="false" ht="19.5" hidden="false" customHeight="true" outlineLevel="0" collapsed="false">
      <c r="A15" s="38" t="n">
        <f aca="false">IF(B15="","",ROW()-14)</f>
        <v>1</v>
      </c>
      <c r="B15" s="39" t="n">
        <f aca="false">$K$1+MIN(MOD(הגדרות!$D$18-WEEKDAY($K$1),7),MOD(הגדרות!$D$19-WEEKDAY($K$1),7))</f>
        <v>46478</v>
      </c>
      <c r="C15" s="38" t="str">
        <f aca="false">IF(B15="","",INDEX(הגדרות!$F$5:$F$11,WEEKDAY(B15)))</f>
        <v>חמישי</v>
      </c>
      <c r="D15" s="40" t="str">
        <f aca="false">IF(B15="","","הדרכה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5" s="41" t="s">
        <v>83</v>
      </c>
      <c r="F15" s="42" t="n">
        <f aca="false">IF(B15="","",IF(E15="לא",0,הגדרות!$C$22))</f>
        <v>3.5</v>
      </c>
      <c r="G15" s="43" t="n">
        <f aca="false">IF(B15="","",F15*הגדרות!$C$24)</f>
        <v>175</v>
      </c>
      <c r="H15" s="44"/>
      <c r="I15" s="45"/>
      <c r="K15" s="27" t="n">
        <f aca="false">IF(B15="","",B15+MIN(MOD(הגדרות!$D$18-WEEKDAY(B15)-1,7)+1,MOD(הגדרות!$D$19-WEEKDAY(B15)-1,7)+1))</f>
        <v>46481</v>
      </c>
    </row>
    <row r="16" customFormat="false" ht="19.5" hidden="false" customHeight="true" outlineLevel="0" collapsed="false">
      <c r="A16" s="38" t="n">
        <f aca="false">IF(B16="","",ROW()-14)</f>
        <v>2</v>
      </c>
      <c r="B16" s="39" t="n">
        <f aca="false">IF(K15="","",IF(K15&gt;$K$2,"",K15))</f>
        <v>46481</v>
      </c>
      <c r="C16" s="38" t="str">
        <f aca="false">IF(B16="","",INDEX(הגדרות!$F$5:$F$11,WEEKDAY(B16)))</f>
        <v>ראשון</v>
      </c>
      <c r="D16" s="40" t="str">
        <f aca="false">IF(B16="","","הדרכה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6" s="41" t="s">
        <v>83</v>
      </c>
      <c r="F16" s="42" t="n">
        <f aca="false">IF(B16="","",IF(E16="לא",0,הגדרות!$C$22))</f>
        <v>3.5</v>
      </c>
      <c r="G16" s="43" t="n">
        <f aca="false">IF(B16="","",F16*הגדרות!$C$24)</f>
        <v>175</v>
      </c>
      <c r="H16" s="44"/>
      <c r="I16" s="45"/>
      <c r="K16" s="27" t="n">
        <f aca="false">IF(B16="","",B16+MIN(MOD(הגדרות!$D$18-WEEKDAY(B16)-1,7)+1,MOD(הגדרות!$D$19-WEEKDAY(B16)-1,7)+1))</f>
        <v>46485</v>
      </c>
    </row>
    <row r="17" customFormat="false" ht="19.5" hidden="false" customHeight="true" outlineLevel="0" collapsed="false">
      <c r="A17" s="38" t="n">
        <f aca="false">IF(B17="","",ROW()-14)</f>
        <v>3</v>
      </c>
      <c r="B17" s="39" t="n">
        <f aca="false">IF(K16="","",IF(K16&gt;$K$2,"",K16))</f>
        <v>46485</v>
      </c>
      <c r="C17" s="38" t="str">
        <f aca="false">IF(B17="","",INDEX(הגדרות!$F$5:$F$11,WEEKDAY(B17)))</f>
        <v>חמישי</v>
      </c>
      <c r="D17" s="40" t="str">
        <f aca="false">IF(B17="","","הדרכה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7" s="41" t="s">
        <v>83</v>
      </c>
      <c r="F17" s="42" t="n">
        <f aca="false">IF(B17="","",IF(E17="לא",0,הגדרות!$C$22))</f>
        <v>3.5</v>
      </c>
      <c r="G17" s="43" t="n">
        <f aca="false">IF(B17="","",F17*הגדרות!$C$24)</f>
        <v>175</v>
      </c>
      <c r="H17" s="44"/>
      <c r="I17" s="45"/>
      <c r="K17" s="27" t="n">
        <f aca="false">IF(B17="","",B17+MIN(MOD(הגדרות!$D$18-WEEKDAY(B17)-1,7)+1,MOD(הגדרות!$D$19-WEEKDAY(B17)-1,7)+1))</f>
        <v>46488</v>
      </c>
    </row>
    <row r="18" customFormat="false" ht="19.5" hidden="false" customHeight="true" outlineLevel="0" collapsed="false">
      <c r="A18" s="38" t="n">
        <f aca="false">IF(B18="","",ROW()-14)</f>
        <v>4</v>
      </c>
      <c r="B18" s="39" t="n">
        <f aca="false">IF(K17="","",IF(K17&gt;$K$2,"",K17))</f>
        <v>46488</v>
      </c>
      <c r="C18" s="38" t="str">
        <f aca="false">IF(B18="","",INDEX(הגדרות!$F$5:$F$11,WEEKDAY(B18)))</f>
        <v>ראשון</v>
      </c>
      <c r="D18" s="40" t="str">
        <f aca="false">IF(B18="","","הדרכה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8" s="41" t="s">
        <v>83</v>
      </c>
      <c r="F18" s="42" t="n">
        <f aca="false">IF(B18="","",IF(E18="לא",0,הגדרות!$C$22))</f>
        <v>3.5</v>
      </c>
      <c r="G18" s="43" t="n">
        <f aca="false">IF(B18="","",F18*הגדרות!$C$24)</f>
        <v>175</v>
      </c>
      <c r="H18" s="44"/>
      <c r="I18" s="45"/>
      <c r="K18" s="27" t="n">
        <f aca="false">IF(B18="","",B18+MIN(MOD(הגדרות!$D$18-WEEKDAY(B18)-1,7)+1,MOD(הגדרות!$D$19-WEEKDAY(B18)-1,7)+1))</f>
        <v>46492</v>
      </c>
    </row>
    <row r="19" customFormat="false" ht="19.5" hidden="false" customHeight="true" outlineLevel="0" collapsed="false">
      <c r="A19" s="38" t="n">
        <f aca="false">IF(B19="","",ROW()-14)</f>
        <v>5</v>
      </c>
      <c r="B19" s="39" t="n">
        <f aca="false">IF(K18="","",IF(K18&gt;$K$2,"",K18))</f>
        <v>46492</v>
      </c>
      <c r="C19" s="38" t="str">
        <f aca="false">IF(B19="","",INDEX(הגדרות!$F$5:$F$11,WEEKDAY(B19)))</f>
        <v>חמישי</v>
      </c>
      <c r="D19" s="40" t="str">
        <f aca="false">IF(B19="","","הדרכה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9" s="41" t="s">
        <v>83</v>
      </c>
      <c r="F19" s="42" t="n">
        <f aca="false">IF(B19="","",IF(E19="לא",0,הגדרות!$C$22))</f>
        <v>3.5</v>
      </c>
      <c r="G19" s="43" t="n">
        <f aca="false">IF(B19="","",F19*הגדרות!$C$24)</f>
        <v>175</v>
      </c>
      <c r="H19" s="44"/>
      <c r="I19" s="45"/>
      <c r="K19" s="27" t="n">
        <f aca="false">IF(B19="","",B19+MIN(MOD(הגדרות!$D$18-WEEKDAY(B19)-1,7)+1,MOD(הגדרות!$D$19-WEEKDAY(B19)-1,7)+1))</f>
        <v>46495</v>
      </c>
    </row>
    <row r="20" customFormat="false" ht="19.5" hidden="false" customHeight="true" outlineLevel="0" collapsed="false">
      <c r="A20" s="38" t="n">
        <f aca="false">IF(B20="","",ROW()-14)</f>
        <v>6</v>
      </c>
      <c r="B20" s="39" t="n">
        <f aca="false">IF(K19="","",IF(K19&gt;$K$2,"",K19))</f>
        <v>46495</v>
      </c>
      <c r="C20" s="38" t="str">
        <f aca="false">IF(B20="","",INDEX(הגדרות!$F$5:$F$11,WEEKDAY(B20)))</f>
        <v>ראשון</v>
      </c>
      <c r="D20" s="40" t="str">
        <f aca="false">IF(B20="","","הדרכה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0" s="41" t="s">
        <v>83</v>
      </c>
      <c r="F20" s="42" t="n">
        <f aca="false">IF(B20="","",IF(E20="לא",0,הגדרות!$C$22))</f>
        <v>3.5</v>
      </c>
      <c r="G20" s="43" t="n">
        <f aca="false">IF(B20="","",F20*הגדרות!$C$24)</f>
        <v>175</v>
      </c>
      <c r="H20" s="44"/>
      <c r="I20" s="45"/>
      <c r="K20" s="27" t="n">
        <f aca="false">IF(B20="","",B20+MIN(MOD(הגדרות!$D$18-WEEKDAY(B20)-1,7)+1,MOD(הגדרות!$D$19-WEEKDAY(B20)-1,7)+1))</f>
        <v>46499</v>
      </c>
    </row>
    <row r="21" customFormat="false" ht="19.5" hidden="false" customHeight="true" outlineLevel="0" collapsed="false">
      <c r="A21" s="38" t="n">
        <f aca="false">IF(B21="","",ROW()-14)</f>
        <v>7</v>
      </c>
      <c r="B21" s="39" t="n">
        <f aca="false">IF(K20="","",IF(K20&gt;$K$2,"",K20))</f>
        <v>46499</v>
      </c>
      <c r="C21" s="38" t="str">
        <f aca="false">IF(B21="","",INDEX(הגדרות!$F$5:$F$11,WEEKDAY(B21)))</f>
        <v>חמישי</v>
      </c>
      <c r="D21" s="40" t="str">
        <f aca="false">IF(B21="","","הדרכה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1" s="41" t="s">
        <v>83</v>
      </c>
      <c r="F21" s="42" t="n">
        <f aca="false">IF(B21="","",IF(E21="לא",0,הגדרות!$C$22))</f>
        <v>3.5</v>
      </c>
      <c r="G21" s="43" t="n">
        <f aca="false">IF(B21="","",F21*הגדרות!$C$24)</f>
        <v>175</v>
      </c>
      <c r="H21" s="44"/>
      <c r="I21" s="45"/>
      <c r="K21" s="27" t="n">
        <f aca="false">IF(B21="","",B21+MIN(MOD(הגדרות!$D$18-WEEKDAY(B21)-1,7)+1,MOD(הגדרות!$D$19-WEEKDAY(B21)-1,7)+1))</f>
        <v>46502</v>
      </c>
    </row>
    <row r="22" customFormat="false" ht="19.5" hidden="false" customHeight="true" outlineLevel="0" collapsed="false">
      <c r="A22" s="38" t="n">
        <f aca="false">IF(B22="","",ROW()-14)</f>
        <v>8</v>
      </c>
      <c r="B22" s="39" t="n">
        <f aca="false">IF(K21="","",IF(K21&gt;$K$2,"",K21))</f>
        <v>46502</v>
      </c>
      <c r="C22" s="38" t="str">
        <f aca="false">IF(B22="","",INDEX(הגדרות!$F$5:$F$11,WEEKDAY(B22)))</f>
        <v>ראשון</v>
      </c>
      <c r="D22" s="40" t="str">
        <f aca="false">IF(B22="","","הדרכה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2" s="41" t="s">
        <v>83</v>
      </c>
      <c r="F22" s="42" t="n">
        <f aca="false">IF(B22="","",IF(E22="לא",0,הגדרות!$C$22))</f>
        <v>3.5</v>
      </c>
      <c r="G22" s="43" t="n">
        <f aca="false">IF(B22="","",F22*הגדרות!$C$24)</f>
        <v>175</v>
      </c>
      <c r="H22" s="44"/>
      <c r="I22" s="45"/>
      <c r="K22" s="27" t="n">
        <f aca="false">IF(B22="","",B22+MIN(MOD(הגדרות!$D$18-WEEKDAY(B22)-1,7)+1,MOD(הגדרות!$D$19-WEEKDAY(B22)-1,7)+1))</f>
        <v>46506</v>
      </c>
    </row>
    <row r="23" customFormat="false" ht="19.5" hidden="false" customHeight="true" outlineLevel="0" collapsed="false">
      <c r="A23" s="38" t="n">
        <f aca="false">IF(B23="","",ROW()-14)</f>
        <v>9</v>
      </c>
      <c r="B23" s="39" t="n">
        <f aca="false">IF(K22="","",IF(K22&gt;$K$2,"",K22))</f>
        <v>46506</v>
      </c>
      <c r="C23" s="38" t="str">
        <f aca="false">IF(B23="","",INDEX(הגדרות!$F$5:$F$11,WEEKDAY(B23)))</f>
        <v>חמישי</v>
      </c>
      <c r="D23" s="40" t="str">
        <f aca="false">IF(B23="","","הדרכה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3" s="41" t="s">
        <v>83</v>
      </c>
      <c r="F23" s="42" t="n">
        <f aca="false">IF(B23="","",IF(E23="לא",0,הגדרות!$C$22))</f>
        <v>3.5</v>
      </c>
      <c r="G23" s="43" t="n">
        <f aca="false">IF(B23="","",F23*הגדרות!$C$24)</f>
        <v>175</v>
      </c>
      <c r="H23" s="44"/>
      <c r="I23" s="45"/>
      <c r="K23" s="27" t="n">
        <f aca="false">IF(B23="","",B23+MIN(MOD(הגדרות!$D$18-WEEKDAY(B23)-1,7)+1,MOD(הגדרות!$D$19-WEEKDAY(B23)-1,7)+1))</f>
        <v>46509</v>
      </c>
    </row>
    <row r="24" customFormat="false" ht="19.5" hidden="false" customHeight="true" outlineLevel="0" collapsed="false">
      <c r="A24" s="38" t="str">
        <f aca="false">IF(B24="","",ROW()-14)</f>
        <v/>
      </c>
      <c r="B24" s="39" t="str">
        <f aca="false">IF(K23="","",IF(K23&gt;$K$2,"",K23))</f>
        <v/>
      </c>
      <c r="C24" s="38" t="str">
        <f aca="false">IF(B24="","",INDEX(הגדרות!$F$5:$F$11,WEEKDAY(B24)))</f>
        <v/>
      </c>
      <c r="D24" s="40" t="str">
        <f aca="false">IF(B24="","","הדרכה "&amp;TEXT(HOUR(הגדרות!$C$20),"00")&amp;":"&amp;TEXT(MINUTE(הגדרות!$C$20),"00")&amp;"–"&amp;TEXT(HOUR(הגדרות!$C$21),"00")&amp;":"&amp;TEXT(MINUTE(הגדרות!$C$21),"00"))</f>
        <v/>
      </c>
      <c r="E24" s="41" t="s">
        <v>83</v>
      </c>
      <c r="F24" s="42" t="str">
        <f aca="false">IF(B24="","",IF(E24="לא",0,הגדרות!$C$22))</f>
        <v/>
      </c>
      <c r="G24" s="43" t="str">
        <f aca="false">IF(B24="","",F24*הגדרות!$C$24)</f>
        <v/>
      </c>
      <c r="H24" s="44"/>
      <c r="I24" s="45"/>
      <c r="K24" s="27" t="str">
        <f aca="false">IF(B24="","",B24+MIN(MOD(הגדרות!$D$18-WEEKDAY(B24)-1,7)+1,MOD(הגדרות!$D$19-WEEKDAY(B24)-1,7)+1))</f>
        <v/>
      </c>
    </row>
    <row r="25" customFormat="false" ht="19.5" hidden="false" customHeight="true" outlineLevel="0" collapsed="false">
      <c r="A25" s="38" t="n">
        <f aca="false">COUNT($B$15:$B$24)+1</f>
        <v>10</v>
      </c>
      <c r="B25" s="46"/>
      <c r="C25" s="38" t="str">
        <f aca="false">IF(B25="","",INDEX(הגדרות!$F$5:$F$11,WEEKDAY(B25)))</f>
        <v/>
      </c>
      <c r="D25" s="40" t="s">
        <v>84</v>
      </c>
      <c r="E25" s="41" t="s">
        <v>83</v>
      </c>
      <c r="F25" s="42" t="n">
        <f aca="false">IF(E25="לא",0,הגדרות!$C$23)</f>
        <v>1</v>
      </c>
      <c r="G25" s="43" t="n">
        <f aca="false">F25*הגדרות!$C$24</f>
        <v>50</v>
      </c>
      <c r="H25" s="44"/>
      <c r="I25" s="45"/>
      <c r="K25" s="27"/>
    </row>
    <row r="26" customFormat="false" ht="21.75" hidden="false" customHeight="true" outlineLevel="0" collapsed="false">
      <c r="A26" s="47" t="s">
        <v>85</v>
      </c>
      <c r="B26" s="47"/>
      <c r="C26" s="47"/>
      <c r="D26" s="47"/>
      <c r="E26" s="47"/>
      <c r="F26" s="48" t="n">
        <f aca="false">SUM(F15:F25)</f>
        <v>32.5</v>
      </c>
      <c r="G26" s="49" t="n">
        <f aca="false">SUM(G15:G25)</f>
        <v>1625</v>
      </c>
      <c r="H26" s="47"/>
      <c r="I26" s="49" t="n">
        <f aca="false">SUM(I15:I25)</f>
        <v>0</v>
      </c>
    </row>
    <row r="28" customFormat="false" ht="19.5" hidden="false" customHeight="true" outlineLevel="0" collapsed="false">
      <c r="A28" s="50" t="s">
        <v>86</v>
      </c>
      <c r="B28" s="50"/>
      <c r="C28" s="50"/>
      <c r="D28" s="50"/>
      <c r="F28" s="40" t="s">
        <v>87</v>
      </c>
      <c r="G28" s="40"/>
      <c r="H28" s="40"/>
      <c r="I28" s="42" t="n">
        <f aca="false">F26</f>
        <v>32.5</v>
      </c>
    </row>
    <row r="29" customFormat="false" ht="30" hidden="false" customHeight="true" outlineLevel="0" collapsed="false">
      <c r="A29" s="51" t="str">
        <f aca="false">"• "&amp;הגדרות!$C$17&amp;": ימי "&amp;הגדרות!$C$18&amp;" ו"&amp;הגדרות!$C$19&amp;", "&amp;TEXT(HOUR(הגדרות!$C$20),"00")&amp;":"&amp;TEXT(MINUTE(הגדרות!$C$20),"00")&amp;"–"&amp;TEXT(HOUR(הגדרות!$C$21),"00")&amp;":"&amp;TEXT(MINUTE(הגדרות!$C$21),"00")&amp;" ("&amp;הגדרות!$C$22&amp;" שעות ליום), וישיבת צוות חודשית ("&amp;הגדרות!$C$23&amp;" ש׳)."</f>
        <v>• הדרכת שיקום: ימי ראשון וחמישי, 09:00–12:30 (3.5 שעות ליום), וישיבת צוות חודשית (1 ש׳).</v>
      </c>
      <c r="B29" s="51"/>
      <c r="C29" s="51"/>
      <c r="D29" s="51"/>
      <c r="E29" s="51"/>
      <c r="F29" s="40" t="str">
        <f aca="false">"הדרכת שיקום ("&amp;TEXT(F26,"0.0")&amp;" שעות × "&amp;הגדרות!$C$24&amp;" ₪)"</f>
        <v>הדרכת שיקום (32.5 שעות × 50 ₪)</v>
      </c>
      <c r="G29" s="40"/>
      <c r="H29" s="40"/>
      <c r="I29" s="43" t="n">
        <f aca="false">G26</f>
        <v>1625</v>
      </c>
    </row>
    <row r="30" customFormat="false" ht="19.5" hidden="false" customHeight="true" outlineLevel="0" collapsed="false">
      <c r="A30" s="51" t="str">
        <f aca="false">IF(הגדרות!$C$28="","","• "&amp;הגדרות!$C$28)</f>
        <v>• התעריף השעתי אינו כולל מע״מ. מע״מ יתווסף כחוק.</v>
      </c>
      <c r="B30" s="51"/>
      <c r="C30" s="51"/>
      <c r="D30" s="51"/>
      <c r="E30" s="51"/>
      <c r="F30" s="40" t="s">
        <v>88</v>
      </c>
      <c r="G30" s="40"/>
      <c r="H30" s="40"/>
      <c r="I30" s="43" t="n">
        <f aca="false">I26</f>
        <v>0</v>
      </c>
    </row>
    <row r="31" customFormat="false" ht="19.5" hidden="false" customHeight="true" outlineLevel="0" collapsed="false">
      <c r="A31" s="51" t="str">
        <f aca="false">IF(הגדרות!$C$29="","","• "&amp;הגדרות!$C$29)</f>
        <v>• פרויקטים פרטיים מתומחרים בנפרד, לפי הזמנת החווה.</v>
      </c>
      <c r="B31" s="51"/>
      <c r="C31" s="51"/>
      <c r="D31" s="51"/>
      <c r="E31" s="51"/>
      <c r="F31" s="52" t="s">
        <v>89</v>
      </c>
      <c r="G31" s="52"/>
      <c r="H31" s="52"/>
      <c r="I31" s="53" t="n">
        <f aca="false">I29+I30</f>
        <v>1625</v>
      </c>
    </row>
    <row r="32" customFormat="false" ht="19.5" hidden="false" customHeight="true" outlineLevel="0" collapsed="false">
      <c r="A32" s="51" t="str">
        <f aca="false">IF(הגדרות!$C$30="","","• "&amp;הגדרות!$C$30)</f>
        <v/>
      </c>
      <c r="B32" s="51"/>
      <c r="C32" s="51"/>
      <c r="D32" s="51"/>
      <c r="E32" s="51"/>
      <c r="F32" s="40" t="str">
        <f aca="false">"מע״מ "&amp;ROUND(הגדרות!$C$25*100,1)&amp;"%"</f>
        <v>מע״מ 18%</v>
      </c>
      <c r="G32" s="40"/>
      <c r="H32" s="40"/>
      <c r="I32" s="43" t="n">
        <f aca="false">ROUND(I31*הגדרות!$C$25,2)</f>
        <v>292.5</v>
      </c>
    </row>
    <row r="33" customFormat="false" ht="24" hidden="false" customHeight="true" outlineLevel="0" collapsed="false">
      <c r="F33" s="54" t="s">
        <v>90</v>
      </c>
      <c r="G33" s="54"/>
      <c r="H33" s="54"/>
      <c r="I33" s="55" t="n">
        <f aca="false">I31+I32</f>
        <v>1917.5</v>
      </c>
    </row>
    <row r="36" customFormat="false" ht="15" hidden="false" customHeight="false" outlineLevel="0" collapsed="false">
      <c r="A36" s="56" t="str">
        <f aca="false">"בברכה, "&amp;הגדרות!$C$6</f>
        <v>בברכה, (למילוי)</v>
      </c>
      <c r="B36" s="56"/>
      <c r="C36" s="56"/>
      <c r="D36" s="56"/>
      <c r="F36" s="56" t="s">
        <v>91</v>
      </c>
      <c r="G36" s="56"/>
      <c r="H36" s="56"/>
      <c r="I36" s="56"/>
    </row>
  </sheetData>
  <mergeCells count="44">
    <mergeCell ref="A1:I1"/>
    <mergeCell ref="A2:I2"/>
    <mergeCell ref="A4:D4"/>
    <mergeCell ref="F4:I4"/>
    <mergeCell ref="A5:B5"/>
    <mergeCell ref="C5:D5"/>
    <mergeCell ref="F5:G5"/>
    <mergeCell ref="H5:I5"/>
    <mergeCell ref="A6:B6"/>
    <mergeCell ref="C6:D6"/>
    <mergeCell ref="F6:G6"/>
    <mergeCell ref="H6:I6"/>
    <mergeCell ref="A7:B7"/>
    <mergeCell ref="C7:D7"/>
    <mergeCell ref="F7:G7"/>
    <mergeCell ref="H7:I7"/>
    <mergeCell ref="A8:B8"/>
    <mergeCell ref="C8:D8"/>
    <mergeCell ref="A9:B9"/>
    <mergeCell ref="C9:D9"/>
    <mergeCell ref="A11:B11"/>
    <mergeCell ref="C11:D11"/>
    <mergeCell ref="F11:G11"/>
    <mergeCell ref="H11:I11"/>
    <mergeCell ref="A12:B12"/>
    <mergeCell ref="C12:D12"/>
    <mergeCell ref="F12:G12"/>
    <mergeCell ref="H12:I12"/>
    <mergeCell ref="A13:G13"/>
    <mergeCell ref="H13:I13"/>
    <mergeCell ref="A26:E26"/>
    <mergeCell ref="A28:D28"/>
    <mergeCell ref="F28:H28"/>
    <mergeCell ref="A29:E29"/>
    <mergeCell ref="F29:H29"/>
    <mergeCell ref="A30:E30"/>
    <mergeCell ref="F30:H30"/>
    <mergeCell ref="A31:E31"/>
    <mergeCell ref="F31:H31"/>
    <mergeCell ref="A32:E32"/>
    <mergeCell ref="F32:H32"/>
    <mergeCell ref="F33:H33"/>
    <mergeCell ref="A36:D36"/>
    <mergeCell ref="F36:I36"/>
  </mergeCells>
  <conditionalFormatting sqref="E15:E24">
    <cfRule type="expression" priority="2" aboveAverage="0" equalAverage="0" bottom="0" percent="0" rank="0" text="" dxfId="0">
      <formula>$B15=""</formula>
    </cfRule>
  </conditionalFormatting>
  <conditionalFormatting sqref="A15:G25">
    <cfRule type="expression" priority="3" aboveAverage="0" equalAverage="0" bottom="0" percent="0" rank="0" text="" dxfId="1">
      <formula>$E15="לא"</formula>
    </cfRule>
  </conditionalFormatting>
  <dataValidations count="1">
    <dataValidation allowBlank="true" errorStyle="stop" operator="between" showDropDown="false" showErrorMessage="false" showInputMessage="false" sqref="E15:E25" type="list">
      <formula1>"כן,לא"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true" outlineLevel="0" max="11" min="11" style="0" width="13"/>
  </cols>
  <sheetData>
    <row r="1" customFormat="false" ht="36" hidden="false" customHeight="true" outlineLevel="0" collapsed="false">
      <c r="A1" s="26" t="s">
        <v>67</v>
      </c>
      <c r="B1" s="26"/>
      <c r="C1" s="26"/>
      <c r="D1" s="26"/>
      <c r="E1" s="26"/>
      <c r="F1" s="26"/>
      <c r="G1" s="26"/>
      <c r="H1" s="26"/>
      <c r="I1" s="26"/>
      <c r="K1" s="27" t="n">
        <f aca="false">DATE(YEAR($H$11),MONTH($H$11),1)</f>
        <v>46508</v>
      </c>
    </row>
    <row r="2" customFormat="false" ht="24" hidden="false" customHeight="true" outlineLevel="0" collapsed="false">
      <c r="A2" s="28" t="str">
        <f aca="false">הגדרות!$C$17&amp;" · "&amp;CHOOSE(MONTH($K$1),"ינואר","פברואר","מרץ","אפריל","מאי","יוני","יולי","אוגוסט","ספטמבר","אוקטובר","נובמבר","דצמבר")&amp;" "&amp;YEAR($K$1)</f>
        <v>הדרכת שיקום · מאי 2027</v>
      </c>
      <c r="B2" s="28"/>
      <c r="C2" s="28"/>
      <c r="D2" s="28"/>
      <c r="E2" s="28"/>
      <c r="F2" s="28"/>
      <c r="G2" s="28"/>
      <c r="H2" s="28"/>
      <c r="I2" s="28"/>
      <c r="K2" s="27" t="n">
        <f aca="false">EOMONTH($K$1,0)</f>
        <v>46538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9" t="s">
        <v>68</v>
      </c>
      <c r="B4" s="29"/>
      <c r="C4" s="29"/>
      <c r="D4" s="29"/>
      <c r="F4" s="29" t="s">
        <v>69</v>
      </c>
      <c r="G4" s="29"/>
      <c r="H4" s="29"/>
      <c r="I4" s="29"/>
    </row>
    <row r="5" customFormat="false" ht="15" hidden="false" customHeight="false" outlineLevel="0" collapsed="false">
      <c r="A5" s="30" t="s">
        <v>28</v>
      </c>
      <c r="B5" s="30"/>
      <c r="C5" s="31" t="str">
        <f aca="false">הגדרות!$C$5</f>
        <v>הנגרייה</v>
      </c>
      <c r="D5" s="31"/>
      <c r="F5" s="30" t="s">
        <v>44</v>
      </c>
      <c r="G5" s="30"/>
      <c r="H5" s="31" t="str">
        <f aca="false">הגדרות!$C$12</f>
        <v>חוות רום</v>
      </c>
      <c r="I5" s="31"/>
    </row>
    <row r="6" customFormat="false" ht="15" hidden="false" customHeight="false" outlineLevel="0" collapsed="false">
      <c r="A6" s="30" t="s">
        <v>31</v>
      </c>
      <c r="B6" s="30"/>
      <c r="C6" s="31" t="str">
        <f aca="false">הגדרות!$C$6</f>
        <v>(למילוי)</v>
      </c>
      <c r="D6" s="31"/>
      <c r="F6" s="30" t="s">
        <v>46</v>
      </c>
      <c r="G6" s="30"/>
      <c r="H6" s="31" t="str">
        <f aca="false">הגדרות!$C$13</f>
        <v>הר כמון</v>
      </c>
      <c r="I6" s="31"/>
    </row>
    <row r="7" customFormat="false" ht="15" hidden="false" customHeight="false" outlineLevel="0" collapsed="false">
      <c r="A7" s="30" t="s">
        <v>70</v>
      </c>
      <c r="B7" s="30"/>
      <c r="C7" s="31" t="str">
        <f aca="false">הגדרות!$C$7</f>
        <v>(למילוי)</v>
      </c>
      <c r="D7" s="31"/>
      <c r="F7" s="30" t="s">
        <v>48</v>
      </c>
      <c r="G7" s="30"/>
      <c r="H7" s="31" t="str">
        <f aca="false">הגדרות!$C$14</f>
        <v>(למילוי)</v>
      </c>
      <c r="I7" s="31"/>
    </row>
    <row r="8" customFormat="false" ht="15" hidden="false" customHeight="false" outlineLevel="0" collapsed="false">
      <c r="A8" s="30" t="s">
        <v>36</v>
      </c>
      <c r="B8" s="30"/>
      <c r="C8" s="31" t="str">
        <f aca="false">הגדרות!$C$8</f>
        <v>(למילוי)</v>
      </c>
      <c r="D8" s="31"/>
    </row>
    <row r="9" customFormat="false" ht="15" hidden="false" customHeight="false" outlineLevel="0" collapsed="false">
      <c r="A9" s="30" t="s">
        <v>38</v>
      </c>
      <c r="B9" s="30"/>
      <c r="C9" s="31" t="str">
        <f aca="false">הגדרות!$C$9</f>
        <v>nettaamit21@gmail.com</v>
      </c>
      <c r="D9" s="31"/>
    </row>
    <row r="10" customFormat="false" ht="9.75" hidden="false" customHeight="true" outlineLevel="0" collapsed="false"/>
    <row r="11" customFormat="false" ht="15" hidden="false" customHeight="false" outlineLevel="0" collapsed="false">
      <c r="A11" s="30" t="s">
        <v>71</v>
      </c>
      <c r="B11" s="30"/>
      <c r="C11" s="31" t="str">
        <f aca="false">YEAR($K$1)&amp;"-"&amp;TEXT(MONTH($K$1),"00")</f>
        <v>2027-05</v>
      </c>
      <c r="D11" s="31"/>
      <c r="F11" s="30" t="s">
        <v>72</v>
      </c>
      <c r="G11" s="30"/>
      <c r="H11" s="32" t="n">
        <v>46508</v>
      </c>
      <c r="I11" s="32"/>
    </row>
    <row r="12" customFormat="false" ht="15" hidden="false" customHeight="false" outlineLevel="0" collapsed="false">
      <c r="A12" s="30" t="s">
        <v>73</v>
      </c>
      <c r="B12" s="30"/>
      <c r="C12" s="33" t="n">
        <f aca="false">$K$2</f>
        <v>46538</v>
      </c>
      <c r="D12" s="33"/>
      <c r="F12" s="30" t="s">
        <v>74</v>
      </c>
      <c r="G12" s="30"/>
      <c r="H12" s="31" t="str">
        <f aca="false">הגדרות!$C$18&amp;" ו"&amp;הגדרות!$C$19&amp;", "&amp;TEXT(HOUR(הגדרות!$C$20),"00")&amp;":"&amp;TEXT(MINUTE(הגדרות!$C$20),"00")&amp;"–"&amp;TEXT(HOUR(הגדרות!$C$21),"00")&amp;":"&amp;TEXT(MINUTE(הגדרות!$C$21),"00")</f>
        <v>ראשון וחמישי, 09:00–12:30</v>
      </c>
      <c r="I12" s="31"/>
    </row>
    <row r="13" customFormat="false" ht="19.5" hidden="false" customHeight="true" outlineLevel="0" collapsed="false">
      <c r="A13" s="34" t="s">
        <v>75</v>
      </c>
      <c r="B13" s="34"/>
      <c r="C13" s="34"/>
      <c r="D13" s="34"/>
      <c r="E13" s="34"/>
      <c r="F13" s="34"/>
      <c r="G13" s="34"/>
      <c r="H13" s="35" t="s">
        <v>76</v>
      </c>
      <c r="I13" s="35"/>
    </row>
    <row r="14" customFormat="false" ht="27.75" hidden="false" customHeight="true" outlineLevel="0" collapsed="false">
      <c r="A14" s="36" t="s">
        <v>77</v>
      </c>
      <c r="B14" s="36" t="s">
        <v>73</v>
      </c>
      <c r="C14" s="36" t="s">
        <v>78</v>
      </c>
      <c r="D14" s="36" t="s">
        <v>79</v>
      </c>
      <c r="E14" s="36" t="s">
        <v>80</v>
      </c>
      <c r="F14" s="36" t="s">
        <v>81</v>
      </c>
      <c r="G14" s="36" t="s">
        <v>82</v>
      </c>
      <c r="H14" s="37" t="s">
        <v>21</v>
      </c>
      <c r="I14" s="37" t="s">
        <v>22</v>
      </c>
    </row>
    <row r="15" customFormat="false" ht="19.5" hidden="false" customHeight="true" outlineLevel="0" collapsed="false">
      <c r="A15" s="38" t="n">
        <f aca="false">IF(B15="","",ROW()-14)</f>
        <v>1</v>
      </c>
      <c r="B15" s="39" t="n">
        <f aca="false">$K$1+MIN(MOD(הגדרות!$D$18-WEEKDAY($K$1),7),MOD(הגדרות!$D$19-WEEKDAY($K$1),7))</f>
        <v>46509</v>
      </c>
      <c r="C15" s="38" t="str">
        <f aca="false">IF(B15="","",INDEX(הגדרות!$F$5:$F$11,WEEKDAY(B15)))</f>
        <v>ראשון</v>
      </c>
      <c r="D15" s="40" t="str">
        <f aca="false">IF(B15="","","הדרכה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5" s="41" t="s">
        <v>83</v>
      </c>
      <c r="F15" s="42" t="n">
        <f aca="false">IF(B15="","",IF(E15="לא",0,הגדרות!$C$22))</f>
        <v>3.5</v>
      </c>
      <c r="G15" s="43" t="n">
        <f aca="false">IF(B15="","",F15*הגדרות!$C$24)</f>
        <v>175</v>
      </c>
      <c r="H15" s="44"/>
      <c r="I15" s="45"/>
      <c r="K15" s="27" t="n">
        <f aca="false">IF(B15="","",B15+MIN(MOD(הגדרות!$D$18-WEEKDAY(B15)-1,7)+1,MOD(הגדרות!$D$19-WEEKDAY(B15)-1,7)+1))</f>
        <v>46513</v>
      </c>
    </row>
    <row r="16" customFormat="false" ht="19.5" hidden="false" customHeight="true" outlineLevel="0" collapsed="false">
      <c r="A16" s="38" t="n">
        <f aca="false">IF(B16="","",ROW()-14)</f>
        <v>2</v>
      </c>
      <c r="B16" s="39" t="n">
        <f aca="false">IF(K15="","",IF(K15&gt;$K$2,"",K15))</f>
        <v>46513</v>
      </c>
      <c r="C16" s="38" t="str">
        <f aca="false">IF(B16="","",INDEX(הגדרות!$F$5:$F$11,WEEKDAY(B16)))</f>
        <v>חמישי</v>
      </c>
      <c r="D16" s="40" t="str">
        <f aca="false">IF(B16="","","הדרכה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6" s="41" t="s">
        <v>83</v>
      </c>
      <c r="F16" s="42" t="n">
        <f aca="false">IF(B16="","",IF(E16="לא",0,הגדרות!$C$22))</f>
        <v>3.5</v>
      </c>
      <c r="G16" s="43" t="n">
        <f aca="false">IF(B16="","",F16*הגדרות!$C$24)</f>
        <v>175</v>
      </c>
      <c r="H16" s="44"/>
      <c r="I16" s="45"/>
      <c r="K16" s="27" t="n">
        <f aca="false">IF(B16="","",B16+MIN(MOD(הגדרות!$D$18-WEEKDAY(B16)-1,7)+1,MOD(הגדרות!$D$19-WEEKDAY(B16)-1,7)+1))</f>
        <v>46516</v>
      </c>
    </row>
    <row r="17" customFormat="false" ht="19.5" hidden="false" customHeight="true" outlineLevel="0" collapsed="false">
      <c r="A17" s="38" t="n">
        <f aca="false">IF(B17="","",ROW()-14)</f>
        <v>3</v>
      </c>
      <c r="B17" s="39" t="n">
        <f aca="false">IF(K16="","",IF(K16&gt;$K$2,"",K16))</f>
        <v>46516</v>
      </c>
      <c r="C17" s="38" t="str">
        <f aca="false">IF(B17="","",INDEX(הגדרות!$F$5:$F$11,WEEKDAY(B17)))</f>
        <v>ראשון</v>
      </c>
      <c r="D17" s="40" t="str">
        <f aca="false">IF(B17="","","הדרכה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7" s="41" t="s">
        <v>83</v>
      </c>
      <c r="F17" s="42" t="n">
        <f aca="false">IF(B17="","",IF(E17="לא",0,הגדרות!$C$22))</f>
        <v>3.5</v>
      </c>
      <c r="G17" s="43" t="n">
        <f aca="false">IF(B17="","",F17*הגדרות!$C$24)</f>
        <v>175</v>
      </c>
      <c r="H17" s="44"/>
      <c r="I17" s="45"/>
      <c r="K17" s="27" t="n">
        <f aca="false">IF(B17="","",B17+MIN(MOD(הגדרות!$D$18-WEEKDAY(B17)-1,7)+1,MOD(הגדרות!$D$19-WEEKDAY(B17)-1,7)+1))</f>
        <v>46520</v>
      </c>
    </row>
    <row r="18" customFormat="false" ht="19.5" hidden="false" customHeight="true" outlineLevel="0" collapsed="false">
      <c r="A18" s="38" t="n">
        <f aca="false">IF(B18="","",ROW()-14)</f>
        <v>4</v>
      </c>
      <c r="B18" s="39" t="n">
        <f aca="false">IF(K17="","",IF(K17&gt;$K$2,"",K17))</f>
        <v>46520</v>
      </c>
      <c r="C18" s="38" t="str">
        <f aca="false">IF(B18="","",INDEX(הגדרות!$F$5:$F$11,WEEKDAY(B18)))</f>
        <v>חמישי</v>
      </c>
      <c r="D18" s="40" t="str">
        <f aca="false">IF(B18="","","הדרכה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8" s="41" t="s">
        <v>83</v>
      </c>
      <c r="F18" s="42" t="n">
        <f aca="false">IF(B18="","",IF(E18="לא",0,הגדרות!$C$22))</f>
        <v>3.5</v>
      </c>
      <c r="G18" s="43" t="n">
        <f aca="false">IF(B18="","",F18*הגדרות!$C$24)</f>
        <v>175</v>
      </c>
      <c r="H18" s="44"/>
      <c r="I18" s="45"/>
      <c r="K18" s="27" t="n">
        <f aca="false">IF(B18="","",B18+MIN(MOD(הגדרות!$D$18-WEEKDAY(B18)-1,7)+1,MOD(הגדרות!$D$19-WEEKDAY(B18)-1,7)+1))</f>
        <v>46523</v>
      </c>
    </row>
    <row r="19" customFormat="false" ht="19.5" hidden="false" customHeight="true" outlineLevel="0" collapsed="false">
      <c r="A19" s="38" t="n">
        <f aca="false">IF(B19="","",ROW()-14)</f>
        <v>5</v>
      </c>
      <c r="B19" s="39" t="n">
        <f aca="false">IF(K18="","",IF(K18&gt;$K$2,"",K18))</f>
        <v>46523</v>
      </c>
      <c r="C19" s="38" t="str">
        <f aca="false">IF(B19="","",INDEX(הגדרות!$F$5:$F$11,WEEKDAY(B19)))</f>
        <v>ראשון</v>
      </c>
      <c r="D19" s="40" t="str">
        <f aca="false">IF(B19="","","הדרכה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9" s="41" t="s">
        <v>83</v>
      </c>
      <c r="F19" s="42" t="n">
        <f aca="false">IF(B19="","",IF(E19="לא",0,הגדרות!$C$22))</f>
        <v>3.5</v>
      </c>
      <c r="G19" s="43" t="n">
        <f aca="false">IF(B19="","",F19*הגדרות!$C$24)</f>
        <v>175</v>
      </c>
      <c r="H19" s="44"/>
      <c r="I19" s="45"/>
      <c r="K19" s="27" t="n">
        <f aca="false">IF(B19="","",B19+MIN(MOD(הגדרות!$D$18-WEEKDAY(B19)-1,7)+1,MOD(הגדרות!$D$19-WEEKDAY(B19)-1,7)+1))</f>
        <v>46527</v>
      </c>
    </row>
    <row r="20" customFormat="false" ht="19.5" hidden="false" customHeight="true" outlineLevel="0" collapsed="false">
      <c r="A20" s="38" t="n">
        <f aca="false">IF(B20="","",ROW()-14)</f>
        <v>6</v>
      </c>
      <c r="B20" s="39" t="n">
        <f aca="false">IF(K19="","",IF(K19&gt;$K$2,"",K19))</f>
        <v>46527</v>
      </c>
      <c r="C20" s="38" t="str">
        <f aca="false">IF(B20="","",INDEX(הגדרות!$F$5:$F$11,WEEKDAY(B20)))</f>
        <v>חמישי</v>
      </c>
      <c r="D20" s="40" t="str">
        <f aca="false">IF(B20="","","הדרכה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0" s="41" t="s">
        <v>83</v>
      </c>
      <c r="F20" s="42" t="n">
        <f aca="false">IF(B20="","",IF(E20="לא",0,הגדרות!$C$22))</f>
        <v>3.5</v>
      </c>
      <c r="G20" s="43" t="n">
        <f aca="false">IF(B20="","",F20*הגדרות!$C$24)</f>
        <v>175</v>
      </c>
      <c r="H20" s="44"/>
      <c r="I20" s="45"/>
      <c r="K20" s="27" t="n">
        <f aca="false">IF(B20="","",B20+MIN(MOD(הגדרות!$D$18-WEEKDAY(B20)-1,7)+1,MOD(הגדרות!$D$19-WEEKDAY(B20)-1,7)+1))</f>
        <v>46530</v>
      </c>
    </row>
    <row r="21" customFormat="false" ht="19.5" hidden="false" customHeight="true" outlineLevel="0" collapsed="false">
      <c r="A21" s="38" t="n">
        <f aca="false">IF(B21="","",ROW()-14)</f>
        <v>7</v>
      </c>
      <c r="B21" s="39" t="n">
        <f aca="false">IF(K20="","",IF(K20&gt;$K$2,"",K20))</f>
        <v>46530</v>
      </c>
      <c r="C21" s="38" t="str">
        <f aca="false">IF(B21="","",INDEX(הגדרות!$F$5:$F$11,WEEKDAY(B21)))</f>
        <v>ראשון</v>
      </c>
      <c r="D21" s="40" t="str">
        <f aca="false">IF(B21="","","הדרכה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1" s="41" t="s">
        <v>83</v>
      </c>
      <c r="F21" s="42" t="n">
        <f aca="false">IF(B21="","",IF(E21="לא",0,הגדרות!$C$22))</f>
        <v>3.5</v>
      </c>
      <c r="G21" s="43" t="n">
        <f aca="false">IF(B21="","",F21*הגדרות!$C$24)</f>
        <v>175</v>
      </c>
      <c r="H21" s="44"/>
      <c r="I21" s="45"/>
      <c r="K21" s="27" t="n">
        <f aca="false">IF(B21="","",B21+MIN(MOD(הגדרות!$D$18-WEEKDAY(B21)-1,7)+1,MOD(הגדרות!$D$19-WEEKDAY(B21)-1,7)+1))</f>
        <v>46534</v>
      </c>
    </row>
    <row r="22" customFormat="false" ht="19.5" hidden="false" customHeight="true" outlineLevel="0" collapsed="false">
      <c r="A22" s="38" t="n">
        <f aca="false">IF(B22="","",ROW()-14)</f>
        <v>8</v>
      </c>
      <c r="B22" s="39" t="n">
        <f aca="false">IF(K21="","",IF(K21&gt;$K$2,"",K21))</f>
        <v>46534</v>
      </c>
      <c r="C22" s="38" t="str">
        <f aca="false">IF(B22="","",INDEX(הגדרות!$F$5:$F$11,WEEKDAY(B22)))</f>
        <v>חמישי</v>
      </c>
      <c r="D22" s="40" t="str">
        <f aca="false">IF(B22="","","הדרכה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2" s="41" t="s">
        <v>83</v>
      </c>
      <c r="F22" s="42" t="n">
        <f aca="false">IF(B22="","",IF(E22="לא",0,הגדרות!$C$22))</f>
        <v>3.5</v>
      </c>
      <c r="G22" s="43" t="n">
        <f aca="false">IF(B22="","",F22*הגדרות!$C$24)</f>
        <v>175</v>
      </c>
      <c r="H22" s="44"/>
      <c r="I22" s="45"/>
      <c r="K22" s="27" t="n">
        <f aca="false">IF(B22="","",B22+MIN(MOD(הגדרות!$D$18-WEEKDAY(B22)-1,7)+1,MOD(הגדרות!$D$19-WEEKDAY(B22)-1,7)+1))</f>
        <v>46537</v>
      </c>
    </row>
    <row r="23" customFormat="false" ht="19.5" hidden="false" customHeight="true" outlineLevel="0" collapsed="false">
      <c r="A23" s="38" t="n">
        <f aca="false">IF(B23="","",ROW()-14)</f>
        <v>9</v>
      </c>
      <c r="B23" s="39" t="n">
        <f aca="false">IF(K22="","",IF(K22&gt;$K$2,"",K22))</f>
        <v>46537</v>
      </c>
      <c r="C23" s="38" t="str">
        <f aca="false">IF(B23="","",INDEX(הגדרות!$F$5:$F$11,WEEKDAY(B23)))</f>
        <v>ראשון</v>
      </c>
      <c r="D23" s="40" t="str">
        <f aca="false">IF(B23="","","הדרכה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3" s="41" t="s">
        <v>83</v>
      </c>
      <c r="F23" s="42" t="n">
        <f aca="false">IF(B23="","",IF(E23="לא",0,הגדרות!$C$22))</f>
        <v>3.5</v>
      </c>
      <c r="G23" s="43" t="n">
        <f aca="false">IF(B23="","",F23*הגדרות!$C$24)</f>
        <v>175</v>
      </c>
      <c r="H23" s="44"/>
      <c r="I23" s="45"/>
      <c r="K23" s="27" t="n">
        <f aca="false">IF(B23="","",B23+MIN(MOD(הגדרות!$D$18-WEEKDAY(B23)-1,7)+1,MOD(הגדרות!$D$19-WEEKDAY(B23)-1,7)+1))</f>
        <v>46541</v>
      </c>
    </row>
    <row r="24" customFormat="false" ht="19.5" hidden="false" customHeight="true" outlineLevel="0" collapsed="false">
      <c r="A24" s="38" t="str">
        <f aca="false">IF(B24="","",ROW()-14)</f>
        <v/>
      </c>
      <c r="B24" s="39" t="str">
        <f aca="false">IF(K23="","",IF(K23&gt;$K$2,"",K23))</f>
        <v/>
      </c>
      <c r="C24" s="38" t="str">
        <f aca="false">IF(B24="","",INDEX(הגדרות!$F$5:$F$11,WEEKDAY(B24)))</f>
        <v/>
      </c>
      <c r="D24" s="40" t="str">
        <f aca="false">IF(B24="","","הדרכה "&amp;TEXT(HOUR(הגדרות!$C$20),"00")&amp;":"&amp;TEXT(MINUTE(הגדרות!$C$20),"00")&amp;"–"&amp;TEXT(HOUR(הגדרות!$C$21),"00")&amp;":"&amp;TEXT(MINUTE(הגדרות!$C$21),"00"))</f>
        <v/>
      </c>
      <c r="E24" s="41" t="s">
        <v>83</v>
      </c>
      <c r="F24" s="42" t="str">
        <f aca="false">IF(B24="","",IF(E24="לא",0,הגדרות!$C$22))</f>
        <v/>
      </c>
      <c r="G24" s="43" t="str">
        <f aca="false">IF(B24="","",F24*הגדרות!$C$24)</f>
        <v/>
      </c>
      <c r="H24" s="44"/>
      <c r="I24" s="45"/>
      <c r="K24" s="27" t="str">
        <f aca="false">IF(B24="","",B24+MIN(MOD(הגדרות!$D$18-WEEKDAY(B24)-1,7)+1,MOD(הגדרות!$D$19-WEEKDAY(B24)-1,7)+1))</f>
        <v/>
      </c>
    </row>
    <row r="25" customFormat="false" ht="19.5" hidden="false" customHeight="true" outlineLevel="0" collapsed="false">
      <c r="A25" s="38" t="n">
        <f aca="false">COUNT($B$15:$B$24)+1</f>
        <v>10</v>
      </c>
      <c r="B25" s="46"/>
      <c r="C25" s="38" t="str">
        <f aca="false">IF(B25="","",INDEX(הגדרות!$F$5:$F$11,WEEKDAY(B25)))</f>
        <v/>
      </c>
      <c r="D25" s="40" t="s">
        <v>84</v>
      </c>
      <c r="E25" s="41" t="s">
        <v>83</v>
      </c>
      <c r="F25" s="42" t="n">
        <f aca="false">IF(E25="לא",0,הגדרות!$C$23)</f>
        <v>1</v>
      </c>
      <c r="G25" s="43" t="n">
        <f aca="false">F25*הגדרות!$C$24</f>
        <v>50</v>
      </c>
      <c r="H25" s="44"/>
      <c r="I25" s="45"/>
      <c r="K25" s="27"/>
    </row>
    <row r="26" customFormat="false" ht="21.75" hidden="false" customHeight="true" outlineLevel="0" collapsed="false">
      <c r="A26" s="47" t="s">
        <v>85</v>
      </c>
      <c r="B26" s="47"/>
      <c r="C26" s="47"/>
      <c r="D26" s="47"/>
      <c r="E26" s="47"/>
      <c r="F26" s="48" t="n">
        <f aca="false">SUM(F15:F25)</f>
        <v>32.5</v>
      </c>
      <c r="G26" s="49" t="n">
        <f aca="false">SUM(G15:G25)</f>
        <v>1625</v>
      </c>
      <c r="H26" s="47"/>
      <c r="I26" s="49" t="n">
        <f aca="false">SUM(I15:I25)</f>
        <v>0</v>
      </c>
    </row>
    <row r="28" customFormat="false" ht="19.5" hidden="false" customHeight="true" outlineLevel="0" collapsed="false">
      <c r="A28" s="50" t="s">
        <v>86</v>
      </c>
      <c r="B28" s="50"/>
      <c r="C28" s="50"/>
      <c r="D28" s="50"/>
      <c r="F28" s="40" t="s">
        <v>87</v>
      </c>
      <c r="G28" s="40"/>
      <c r="H28" s="40"/>
      <c r="I28" s="42" t="n">
        <f aca="false">F26</f>
        <v>32.5</v>
      </c>
    </row>
    <row r="29" customFormat="false" ht="30" hidden="false" customHeight="true" outlineLevel="0" collapsed="false">
      <c r="A29" s="51" t="str">
        <f aca="false">"• "&amp;הגדרות!$C$17&amp;": ימי "&amp;הגדרות!$C$18&amp;" ו"&amp;הגדרות!$C$19&amp;", "&amp;TEXT(HOUR(הגדרות!$C$20),"00")&amp;":"&amp;TEXT(MINUTE(הגדרות!$C$20),"00")&amp;"–"&amp;TEXT(HOUR(הגדרות!$C$21),"00")&amp;":"&amp;TEXT(MINUTE(הגדרות!$C$21),"00")&amp;" ("&amp;הגדרות!$C$22&amp;" שעות ליום), וישיבת צוות חודשית ("&amp;הגדרות!$C$23&amp;" ש׳)."</f>
        <v>• הדרכת שיקום: ימי ראשון וחמישי, 09:00–12:30 (3.5 שעות ליום), וישיבת צוות חודשית (1 ש׳).</v>
      </c>
      <c r="B29" s="51"/>
      <c r="C29" s="51"/>
      <c r="D29" s="51"/>
      <c r="E29" s="51"/>
      <c r="F29" s="40" t="str">
        <f aca="false">"הדרכת שיקום ("&amp;TEXT(F26,"0.0")&amp;" שעות × "&amp;הגדרות!$C$24&amp;" ₪)"</f>
        <v>הדרכת שיקום (32.5 שעות × 50 ₪)</v>
      </c>
      <c r="G29" s="40"/>
      <c r="H29" s="40"/>
      <c r="I29" s="43" t="n">
        <f aca="false">G26</f>
        <v>1625</v>
      </c>
    </row>
    <row r="30" customFormat="false" ht="19.5" hidden="false" customHeight="true" outlineLevel="0" collapsed="false">
      <c r="A30" s="51" t="str">
        <f aca="false">IF(הגדרות!$C$28="","","• "&amp;הגדרות!$C$28)</f>
        <v>• התעריף השעתי אינו כולל מע״מ. מע״מ יתווסף כחוק.</v>
      </c>
      <c r="B30" s="51"/>
      <c r="C30" s="51"/>
      <c r="D30" s="51"/>
      <c r="E30" s="51"/>
      <c r="F30" s="40" t="s">
        <v>88</v>
      </c>
      <c r="G30" s="40"/>
      <c r="H30" s="40"/>
      <c r="I30" s="43" t="n">
        <f aca="false">I26</f>
        <v>0</v>
      </c>
    </row>
    <row r="31" customFormat="false" ht="19.5" hidden="false" customHeight="true" outlineLevel="0" collapsed="false">
      <c r="A31" s="51" t="str">
        <f aca="false">IF(הגדרות!$C$29="","","• "&amp;הגדרות!$C$29)</f>
        <v>• פרויקטים פרטיים מתומחרים בנפרד, לפי הזמנת החווה.</v>
      </c>
      <c r="B31" s="51"/>
      <c r="C31" s="51"/>
      <c r="D31" s="51"/>
      <c r="E31" s="51"/>
      <c r="F31" s="52" t="s">
        <v>89</v>
      </c>
      <c r="G31" s="52"/>
      <c r="H31" s="52"/>
      <c r="I31" s="53" t="n">
        <f aca="false">I29+I30</f>
        <v>1625</v>
      </c>
    </row>
    <row r="32" customFormat="false" ht="19.5" hidden="false" customHeight="true" outlineLevel="0" collapsed="false">
      <c r="A32" s="51" t="str">
        <f aca="false">IF(הגדרות!$C$30="","","• "&amp;הגדרות!$C$30)</f>
        <v/>
      </c>
      <c r="B32" s="51"/>
      <c r="C32" s="51"/>
      <c r="D32" s="51"/>
      <c r="E32" s="51"/>
      <c r="F32" s="40" t="str">
        <f aca="false">"מע״מ "&amp;ROUND(הגדרות!$C$25*100,1)&amp;"%"</f>
        <v>מע״מ 18%</v>
      </c>
      <c r="G32" s="40"/>
      <c r="H32" s="40"/>
      <c r="I32" s="43" t="n">
        <f aca="false">ROUND(I31*הגדרות!$C$25,2)</f>
        <v>292.5</v>
      </c>
    </row>
    <row r="33" customFormat="false" ht="24" hidden="false" customHeight="true" outlineLevel="0" collapsed="false">
      <c r="F33" s="54" t="s">
        <v>90</v>
      </c>
      <c r="G33" s="54"/>
      <c r="H33" s="54"/>
      <c r="I33" s="55" t="n">
        <f aca="false">I31+I32</f>
        <v>1917.5</v>
      </c>
    </row>
    <row r="36" customFormat="false" ht="15" hidden="false" customHeight="false" outlineLevel="0" collapsed="false">
      <c r="A36" s="56" t="str">
        <f aca="false">"בברכה, "&amp;הגדרות!$C$6</f>
        <v>בברכה, (למילוי)</v>
      </c>
      <c r="B36" s="56"/>
      <c r="C36" s="56"/>
      <c r="D36" s="56"/>
      <c r="F36" s="56" t="s">
        <v>91</v>
      </c>
      <c r="G36" s="56"/>
      <c r="H36" s="56"/>
      <c r="I36" s="56"/>
    </row>
  </sheetData>
  <mergeCells count="44">
    <mergeCell ref="A1:I1"/>
    <mergeCell ref="A2:I2"/>
    <mergeCell ref="A4:D4"/>
    <mergeCell ref="F4:I4"/>
    <mergeCell ref="A5:B5"/>
    <mergeCell ref="C5:D5"/>
    <mergeCell ref="F5:G5"/>
    <mergeCell ref="H5:I5"/>
    <mergeCell ref="A6:B6"/>
    <mergeCell ref="C6:D6"/>
    <mergeCell ref="F6:G6"/>
    <mergeCell ref="H6:I6"/>
    <mergeCell ref="A7:B7"/>
    <mergeCell ref="C7:D7"/>
    <mergeCell ref="F7:G7"/>
    <mergeCell ref="H7:I7"/>
    <mergeCell ref="A8:B8"/>
    <mergeCell ref="C8:D8"/>
    <mergeCell ref="A9:B9"/>
    <mergeCell ref="C9:D9"/>
    <mergeCell ref="A11:B11"/>
    <mergeCell ref="C11:D11"/>
    <mergeCell ref="F11:G11"/>
    <mergeCell ref="H11:I11"/>
    <mergeCell ref="A12:B12"/>
    <mergeCell ref="C12:D12"/>
    <mergeCell ref="F12:G12"/>
    <mergeCell ref="H12:I12"/>
    <mergeCell ref="A13:G13"/>
    <mergeCell ref="H13:I13"/>
    <mergeCell ref="A26:E26"/>
    <mergeCell ref="A28:D28"/>
    <mergeCell ref="F28:H28"/>
    <mergeCell ref="A29:E29"/>
    <mergeCell ref="F29:H29"/>
    <mergeCell ref="A30:E30"/>
    <mergeCell ref="F30:H30"/>
    <mergeCell ref="A31:E31"/>
    <mergeCell ref="F31:H31"/>
    <mergeCell ref="A32:E32"/>
    <mergeCell ref="F32:H32"/>
    <mergeCell ref="F33:H33"/>
    <mergeCell ref="A36:D36"/>
    <mergeCell ref="F36:I36"/>
  </mergeCells>
  <conditionalFormatting sqref="E15:E24">
    <cfRule type="expression" priority="2" aboveAverage="0" equalAverage="0" bottom="0" percent="0" rank="0" text="" dxfId="0">
      <formula>$B15=""</formula>
    </cfRule>
  </conditionalFormatting>
  <conditionalFormatting sqref="A15:G25">
    <cfRule type="expression" priority="3" aboveAverage="0" equalAverage="0" bottom="0" percent="0" rank="0" text="" dxfId="1">
      <formula>$E15="לא"</formula>
    </cfRule>
  </conditionalFormatting>
  <dataValidations count="1">
    <dataValidation allowBlank="true" errorStyle="stop" operator="between" showDropDown="false" showErrorMessage="false" showInputMessage="false" sqref="E15:E25" type="list">
      <formula1>"כן,לא"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true" outlineLevel="0" max="11" min="11" style="0" width="13"/>
  </cols>
  <sheetData>
    <row r="1" customFormat="false" ht="36" hidden="false" customHeight="true" outlineLevel="0" collapsed="false">
      <c r="A1" s="26" t="s">
        <v>67</v>
      </c>
      <c r="B1" s="26"/>
      <c r="C1" s="26"/>
      <c r="D1" s="26"/>
      <c r="E1" s="26"/>
      <c r="F1" s="26"/>
      <c r="G1" s="26"/>
      <c r="H1" s="26"/>
      <c r="I1" s="26"/>
      <c r="K1" s="27" t="n">
        <f aca="false">DATE(YEAR($H$11),MONTH($H$11),1)</f>
        <v>46539</v>
      </c>
    </row>
    <row r="2" customFormat="false" ht="24" hidden="false" customHeight="true" outlineLevel="0" collapsed="false">
      <c r="A2" s="28" t="str">
        <f aca="false">הגדרות!$C$17&amp;" · "&amp;CHOOSE(MONTH($K$1),"ינואר","פברואר","מרץ","אפריל","מאי","יוני","יולי","אוגוסט","ספטמבר","אוקטובר","נובמבר","דצמבר")&amp;" "&amp;YEAR($K$1)</f>
        <v>הדרכת שיקום · יוני 2027</v>
      </c>
      <c r="B2" s="28"/>
      <c r="C2" s="28"/>
      <c r="D2" s="28"/>
      <c r="E2" s="28"/>
      <c r="F2" s="28"/>
      <c r="G2" s="28"/>
      <c r="H2" s="28"/>
      <c r="I2" s="28"/>
      <c r="K2" s="27" t="n">
        <f aca="false">EOMONTH($K$1,0)</f>
        <v>46568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9" t="s">
        <v>68</v>
      </c>
      <c r="B4" s="29"/>
      <c r="C4" s="29"/>
      <c r="D4" s="29"/>
      <c r="F4" s="29" t="s">
        <v>69</v>
      </c>
      <c r="G4" s="29"/>
      <c r="H4" s="29"/>
      <c r="I4" s="29"/>
    </row>
    <row r="5" customFormat="false" ht="15" hidden="false" customHeight="false" outlineLevel="0" collapsed="false">
      <c r="A5" s="30" t="s">
        <v>28</v>
      </c>
      <c r="B5" s="30"/>
      <c r="C5" s="31" t="str">
        <f aca="false">הגדרות!$C$5</f>
        <v>הנגרייה</v>
      </c>
      <c r="D5" s="31"/>
      <c r="F5" s="30" t="s">
        <v>44</v>
      </c>
      <c r="G5" s="30"/>
      <c r="H5" s="31" t="str">
        <f aca="false">הגדרות!$C$12</f>
        <v>חוות רום</v>
      </c>
      <c r="I5" s="31"/>
    </row>
    <row r="6" customFormat="false" ht="15" hidden="false" customHeight="false" outlineLevel="0" collapsed="false">
      <c r="A6" s="30" t="s">
        <v>31</v>
      </c>
      <c r="B6" s="30"/>
      <c r="C6" s="31" t="str">
        <f aca="false">הגדרות!$C$6</f>
        <v>(למילוי)</v>
      </c>
      <c r="D6" s="31"/>
      <c r="F6" s="30" t="s">
        <v>46</v>
      </c>
      <c r="G6" s="30"/>
      <c r="H6" s="31" t="str">
        <f aca="false">הגדרות!$C$13</f>
        <v>הר כמון</v>
      </c>
      <c r="I6" s="31"/>
    </row>
    <row r="7" customFormat="false" ht="15" hidden="false" customHeight="false" outlineLevel="0" collapsed="false">
      <c r="A7" s="30" t="s">
        <v>70</v>
      </c>
      <c r="B7" s="30"/>
      <c r="C7" s="31" t="str">
        <f aca="false">הגדרות!$C$7</f>
        <v>(למילוי)</v>
      </c>
      <c r="D7" s="31"/>
      <c r="F7" s="30" t="s">
        <v>48</v>
      </c>
      <c r="G7" s="30"/>
      <c r="H7" s="31" t="str">
        <f aca="false">הגדרות!$C$14</f>
        <v>(למילוי)</v>
      </c>
      <c r="I7" s="31"/>
    </row>
    <row r="8" customFormat="false" ht="15" hidden="false" customHeight="false" outlineLevel="0" collapsed="false">
      <c r="A8" s="30" t="s">
        <v>36</v>
      </c>
      <c r="B8" s="30"/>
      <c r="C8" s="31" t="str">
        <f aca="false">הגדרות!$C$8</f>
        <v>(למילוי)</v>
      </c>
      <c r="D8" s="31"/>
    </row>
    <row r="9" customFormat="false" ht="15" hidden="false" customHeight="false" outlineLevel="0" collapsed="false">
      <c r="A9" s="30" t="s">
        <v>38</v>
      </c>
      <c r="B9" s="30"/>
      <c r="C9" s="31" t="str">
        <f aca="false">הגדרות!$C$9</f>
        <v>nettaamit21@gmail.com</v>
      </c>
      <c r="D9" s="31"/>
    </row>
    <row r="10" customFormat="false" ht="9.75" hidden="false" customHeight="true" outlineLevel="0" collapsed="false"/>
    <row r="11" customFormat="false" ht="15" hidden="false" customHeight="false" outlineLevel="0" collapsed="false">
      <c r="A11" s="30" t="s">
        <v>71</v>
      </c>
      <c r="B11" s="30"/>
      <c r="C11" s="31" t="str">
        <f aca="false">YEAR($K$1)&amp;"-"&amp;TEXT(MONTH($K$1),"00")</f>
        <v>2027-06</v>
      </c>
      <c r="D11" s="31"/>
      <c r="F11" s="30" t="s">
        <v>72</v>
      </c>
      <c r="G11" s="30"/>
      <c r="H11" s="32" t="n">
        <v>46539</v>
      </c>
      <c r="I11" s="32"/>
    </row>
    <row r="12" customFormat="false" ht="15" hidden="false" customHeight="false" outlineLevel="0" collapsed="false">
      <c r="A12" s="30" t="s">
        <v>73</v>
      </c>
      <c r="B12" s="30"/>
      <c r="C12" s="33" t="n">
        <f aca="false">$K$2</f>
        <v>46568</v>
      </c>
      <c r="D12" s="33"/>
      <c r="F12" s="30" t="s">
        <v>74</v>
      </c>
      <c r="G12" s="30"/>
      <c r="H12" s="31" t="str">
        <f aca="false">הגדרות!$C$18&amp;" ו"&amp;הגדרות!$C$19&amp;", "&amp;TEXT(HOUR(הגדרות!$C$20),"00")&amp;":"&amp;TEXT(MINUTE(הגדרות!$C$20),"00")&amp;"–"&amp;TEXT(HOUR(הגדרות!$C$21),"00")&amp;":"&amp;TEXT(MINUTE(הגדרות!$C$21),"00")</f>
        <v>ראשון וחמישי, 09:00–12:30</v>
      </c>
      <c r="I12" s="31"/>
    </row>
    <row r="13" customFormat="false" ht="19.5" hidden="false" customHeight="true" outlineLevel="0" collapsed="false">
      <c r="A13" s="34" t="s">
        <v>75</v>
      </c>
      <c r="B13" s="34"/>
      <c r="C13" s="34"/>
      <c r="D13" s="34"/>
      <c r="E13" s="34"/>
      <c r="F13" s="34"/>
      <c r="G13" s="34"/>
      <c r="H13" s="35" t="s">
        <v>76</v>
      </c>
      <c r="I13" s="35"/>
    </row>
    <row r="14" customFormat="false" ht="27.75" hidden="false" customHeight="true" outlineLevel="0" collapsed="false">
      <c r="A14" s="36" t="s">
        <v>77</v>
      </c>
      <c r="B14" s="36" t="s">
        <v>73</v>
      </c>
      <c r="C14" s="36" t="s">
        <v>78</v>
      </c>
      <c r="D14" s="36" t="s">
        <v>79</v>
      </c>
      <c r="E14" s="36" t="s">
        <v>80</v>
      </c>
      <c r="F14" s="36" t="s">
        <v>81</v>
      </c>
      <c r="G14" s="36" t="s">
        <v>82</v>
      </c>
      <c r="H14" s="37" t="s">
        <v>21</v>
      </c>
      <c r="I14" s="37" t="s">
        <v>22</v>
      </c>
    </row>
    <row r="15" customFormat="false" ht="19.5" hidden="false" customHeight="true" outlineLevel="0" collapsed="false">
      <c r="A15" s="38" t="n">
        <f aca="false">IF(B15="","",ROW()-14)</f>
        <v>1</v>
      </c>
      <c r="B15" s="39" t="n">
        <f aca="false">$K$1+MIN(MOD(הגדרות!$D$18-WEEKDAY($K$1),7),MOD(הגדרות!$D$19-WEEKDAY($K$1),7))</f>
        <v>46541</v>
      </c>
      <c r="C15" s="38" t="str">
        <f aca="false">IF(B15="","",INDEX(הגדרות!$F$5:$F$11,WEEKDAY(B15)))</f>
        <v>חמישי</v>
      </c>
      <c r="D15" s="40" t="str">
        <f aca="false">IF(B15="","","הדרכה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5" s="41" t="s">
        <v>83</v>
      </c>
      <c r="F15" s="42" t="n">
        <f aca="false">IF(B15="","",IF(E15="לא",0,הגדרות!$C$22))</f>
        <v>3.5</v>
      </c>
      <c r="G15" s="43" t="n">
        <f aca="false">IF(B15="","",F15*הגדרות!$C$24)</f>
        <v>175</v>
      </c>
      <c r="H15" s="44"/>
      <c r="I15" s="45"/>
      <c r="K15" s="27" t="n">
        <f aca="false">IF(B15="","",B15+MIN(MOD(הגדרות!$D$18-WEEKDAY(B15)-1,7)+1,MOD(הגדרות!$D$19-WEEKDAY(B15)-1,7)+1))</f>
        <v>46544</v>
      </c>
    </row>
    <row r="16" customFormat="false" ht="19.5" hidden="false" customHeight="true" outlineLevel="0" collapsed="false">
      <c r="A16" s="38" t="n">
        <f aca="false">IF(B16="","",ROW()-14)</f>
        <v>2</v>
      </c>
      <c r="B16" s="39" t="n">
        <f aca="false">IF(K15="","",IF(K15&gt;$K$2,"",K15))</f>
        <v>46544</v>
      </c>
      <c r="C16" s="38" t="str">
        <f aca="false">IF(B16="","",INDEX(הגדרות!$F$5:$F$11,WEEKDAY(B16)))</f>
        <v>ראשון</v>
      </c>
      <c r="D16" s="40" t="str">
        <f aca="false">IF(B16="","","הדרכה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6" s="41" t="s">
        <v>83</v>
      </c>
      <c r="F16" s="42" t="n">
        <f aca="false">IF(B16="","",IF(E16="לא",0,הגדרות!$C$22))</f>
        <v>3.5</v>
      </c>
      <c r="G16" s="43" t="n">
        <f aca="false">IF(B16="","",F16*הגדרות!$C$24)</f>
        <v>175</v>
      </c>
      <c r="H16" s="44"/>
      <c r="I16" s="45"/>
      <c r="K16" s="27" t="n">
        <f aca="false">IF(B16="","",B16+MIN(MOD(הגדרות!$D$18-WEEKDAY(B16)-1,7)+1,MOD(הגדרות!$D$19-WEEKDAY(B16)-1,7)+1))</f>
        <v>46548</v>
      </c>
    </row>
    <row r="17" customFormat="false" ht="19.5" hidden="false" customHeight="true" outlineLevel="0" collapsed="false">
      <c r="A17" s="38" t="n">
        <f aca="false">IF(B17="","",ROW()-14)</f>
        <v>3</v>
      </c>
      <c r="B17" s="39" t="n">
        <f aca="false">IF(K16="","",IF(K16&gt;$K$2,"",K16))</f>
        <v>46548</v>
      </c>
      <c r="C17" s="38" t="str">
        <f aca="false">IF(B17="","",INDEX(הגדרות!$F$5:$F$11,WEEKDAY(B17)))</f>
        <v>חמישי</v>
      </c>
      <c r="D17" s="40" t="str">
        <f aca="false">IF(B17="","","הדרכה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7" s="41" t="s">
        <v>83</v>
      </c>
      <c r="F17" s="42" t="n">
        <f aca="false">IF(B17="","",IF(E17="לא",0,הגדרות!$C$22))</f>
        <v>3.5</v>
      </c>
      <c r="G17" s="43" t="n">
        <f aca="false">IF(B17="","",F17*הגדרות!$C$24)</f>
        <v>175</v>
      </c>
      <c r="H17" s="44"/>
      <c r="I17" s="45"/>
      <c r="K17" s="27" t="n">
        <f aca="false">IF(B17="","",B17+MIN(MOD(הגדרות!$D$18-WEEKDAY(B17)-1,7)+1,MOD(הגדרות!$D$19-WEEKDAY(B17)-1,7)+1))</f>
        <v>46551</v>
      </c>
    </row>
    <row r="18" customFormat="false" ht="19.5" hidden="false" customHeight="true" outlineLevel="0" collapsed="false">
      <c r="A18" s="38" t="n">
        <f aca="false">IF(B18="","",ROW()-14)</f>
        <v>4</v>
      </c>
      <c r="B18" s="39" t="n">
        <f aca="false">IF(K17="","",IF(K17&gt;$K$2,"",K17))</f>
        <v>46551</v>
      </c>
      <c r="C18" s="38" t="str">
        <f aca="false">IF(B18="","",INDEX(הגדרות!$F$5:$F$11,WEEKDAY(B18)))</f>
        <v>ראשון</v>
      </c>
      <c r="D18" s="40" t="str">
        <f aca="false">IF(B18="","","הדרכה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8" s="41" t="s">
        <v>83</v>
      </c>
      <c r="F18" s="42" t="n">
        <f aca="false">IF(B18="","",IF(E18="לא",0,הגדרות!$C$22))</f>
        <v>3.5</v>
      </c>
      <c r="G18" s="43" t="n">
        <f aca="false">IF(B18="","",F18*הגדרות!$C$24)</f>
        <v>175</v>
      </c>
      <c r="H18" s="44"/>
      <c r="I18" s="45"/>
      <c r="K18" s="27" t="n">
        <f aca="false">IF(B18="","",B18+MIN(MOD(הגדרות!$D$18-WEEKDAY(B18)-1,7)+1,MOD(הגדרות!$D$19-WEEKDAY(B18)-1,7)+1))</f>
        <v>46555</v>
      </c>
    </row>
    <row r="19" customFormat="false" ht="19.5" hidden="false" customHeight="true" outlineLevel="0" collapsed="false">
      <c r="A19" s="38" t="n">
        <f aca="false">IF(B19="","",ROW()-14)</f>
        <v>5</v>
      </c>
      <c r="B19" s="39" t="n">
        <f aca="false">IF(K18="","",IF(K18&gt;$K$2,"",K18))</f>
        <v>46555</v>
      </c>
      <c r="C19" s="38" t="str">
        <f aca="false">IF(B19="","",INDEX(הגדרות!$F$5:$F$11,WEEKDAY(B19)))</f>
        <v>חמישי</v>
      </c>
      <c r="D19" s="40" t="str">
        <f aca="false">IF(B19="","","הדרכה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9" s="41" t="s">
        <v>83</v>
      </c>
      <c r="F19" s="42" t="n">
        <f aca="false">IF(B19="","",IF(E19="לא",0,הגדרות!$C$22))</f>
        <v>3.5</v>
      </c>
      <c r="G19" s="43" t="n">
        <f aca="false">IF(B19="","",F19*הגדרות!$C$24)</f>
        <v>175</v>
      </c>
      <c r="H19" s="44"/>
      <c r="I19" s="45"/>
      <c r="K19" s="27" t="n">
        <f aca="false">IF(B19="","",B19+MIN(MOD(הגדרות!$D$18-WEEKDAY(B19)-1,7)+1,MOD(הגדרות!$D$19-WEEKDAY(B19)-1,7)+1))</f>
        <v>46558</v>
      </c>
    </row>
    <row r="20" customFormat="false" ht="19.5" hidden="false" customHeight="true" outlineLevel="0" collapsed="false">
      <c r="A20" s="38" t="n">
        <f aca="false">IF(B20="","",ROW()-14)</f>
        <v>6</v>
      </c>
      <c r="B20" s="39" t="n">
        <f aca="false">IF(K19="","",IF(K19&gt;$K$2,"",K19))</f>
        <v>46558</v>
      </c>
      <c r="C20" s="38" t="str">
        <f aca="false">IF(B20="","",INDEX(הגדרות!$F$5:$F$11,WEEKDAY(B20)))</f>
        <v>ראשון</v>
      </c>
      <c r="D20" s="40" t="str">
        <f aca="false">IF(B20="","","הדרכה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0" s="41" t="s">
        <v>83</v>
      </c>
      <c r="F20" s="42" t="n">
        <f aca="false">IF(B20="","",IF(E20="לא",0,הגדרות!$C$22))</f>
        <v>3.5</v>
      </c>
      <c r="G20" s="43" t="n">
        <f aca="false">IF(B20="","",F20*הגדרות!$C$24)</f>
        <v>175</v>
      </c>
      <c r="H20" s="44"/>
      <c r="I20" s="45"/>
      <c r="K20" s="27" t="n">
        <f aca="false">IF(B20="","",B20+MIN(MOD(הגדרות!$D$18-WEEKDAY(B20)-1,7)+1,MOD(הגדרות!$D$19-WEEKDAY(B20)-1,7)+1))</f>
        <v>46562</v>
      </c>
    </row>
    <row r="21" customFormat="false" ht="19.5" hidden="false" customHeight="true" outlineLevel="0" collapsed="false">
      <c r="A21" s="38" t="n">
        <f aca="false">IF(B21="","",ROW()-14)</f>
        <v>7</v>
      </c>
      <c r="B21" s="39" t="n">
        <f aca="false">IF(K20="","",IF(K20&gt;$K$2,"",K20))</f>
        <v>46562</v>
      </c>
      <c r="C21" s="38" t="str">
        <f aca="false">IF(B21="","",INDEX(הגדרות!$F$5:$F$11,WEEKDAY(B21)))</f>
        <v>חמישי</v>
      </c>
      <c r="D21" s="40" t="str">
        <f aca="false">IF(B21="","","הדרכה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1" s="41" t="s">
        <v>83</v>
      </c>
      <c r="F21" s="42" t="n">
        <f aca="false">IF(B21="","",IF(E21="לא",0,הגדרות!$C$22))</f>
        <v>3.5</v>
      </c>
      <c r="G21" s="43" t="n">
        <f aca="false">IF(B21="","",F21*הגדרות!$C$24)</f>
        <v>175</v>
      </c>
      <c r="H21" s="44"/>
      <c r="I21" s="45"/>
      <c r="K21" s="27" t="n">
        <f aca="false">IF(B21="","",B21+MIN(MOD(הגדרות!$D$18-WEEKDAY(B21)-1,7)+1,MOD(הגדרות!$D$19-WEEKDAY(B21)-1,7)+1))</f>
        <v>46565</v>
      </c>
    </row>
    <row r="22" customFormat="false" ht="19.5" hidden="false" customHeight="true" outlineLevel="0" collapsed="false">
      <c r="A22" s="38" t="n">
        <f aca="false">IF(B22="","",ROW()-14)</f>
        <v>8</v>
      </c>
      <c r="B22" s="39" t="n">
        <f aca="false">IF(K21="","",IF(K21&gt;$K$2,"",K21))</f>
        <v>46565</v>
      </c>
      <c r="C22" s="38" t="str">
        <f aca="false">IF(B22="","",INDEX(הגדרות!$F$5:$F$11,WEEKDAY(B22)))</f>
        <v>ראשון</v>
      </c>
      <c r="D22" s="40" t="str">
        <f aca="false">IF(B22="","","הדרכה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2" s="41" t="s">
        <v>83</v>
      </c>
      <c r="F22" s="42" t="n">
        <f aca="false">IF(B22="","",IF(E22="לא",0,הגדרות!$C$22))</f>
        <v>3.5</v>
      </c>
      <c r="G22" s="43" t="n">
        <f aca="false">IF(B22="","",F22*הגדרות!$C$24)</f>
        <v>175</v>
      </c>
      <c r="H22" s="44"/>
      <c r="I22" s="45"/>
      <c r="K22" s="27" t="n">
        <f aca="false">IF(B22="","",B22+MIN(MOD(הגדרות!$D$18-WEEKDAY(B22)-1,7)+1,MOD(הגדרות!$D$19-WEEKDAY(B22)-1,7)+1))</f>
        <v>46569</v>
      </c>
    </row>
    <row r="23" customFormat="false" ht="19.5" hidden="false" customHeight="true" outlineLevel="0" collapsed="false">
      <c r="A23" s="38" t="str">
        <f aca="false">IF(B23="","",ROW()-14)</f>
        <v/>
      </c>
      <c r="B23" s="39" t="str">
        <f aca="false">IF(K22="","",IF(K22&gt;$K$2,"",K22))</f>
        <v/>
      </c>
      <c r="C23" s="38" t="str">
        <f aca="false">IF(B23="","",INDEX(הגדרות!$F$5:$F$11,WEEKDAY(B23)))</f>
        <v/>
      </c>
      <c r="D23" s="40" t="str">
        <f aca="false">IF(B23="","","הדרכה "&amp;TEXT(HOUR(הגדרות!$C$20),"00")&amp;":"&amp;TEXT(MINUTE(הגדרות!$C$20),"00")&amp;"–"&amp;TEXT(HOUR(הגדרות!$C$21),"00")&amp;":"&amp;TEXT(MINUTE(הגדרות!$C$21),"00"))</f>
        <v/>
      </c>
      <c r="E23" s="41" t="s">
        <v>83</v>
      </c>
      <c r="F23" s="42" t="str">
        <f aca="false">IF(B23="","",IF(E23="לא",0,הגדרות!$C$22))</f>
        <v/>
      </c>
      <c r="G23" s="43" t="str">
        <f aca="false">IF(B23="","",F23*הגדרות!$C$24)</f>
        <v/>
      </c>
      <c r="H23" s="44"/>
      <c r="I23" s="45"/>
      <c r="K23" s="27" t="str">
        <f aca="false">IF(B23="","",B23+MIN(MOD(הגדרות!$D$18-WEEKDAY(B23)-1,7)+1,MOD(הגדרות!$D$19-WEEKDAY(B23)-1,7)+1))</f>
        <v/>
      </c>
    </row>
    <row r="24" customFormat="false" ht="19.5" hidden="false" customHeight="true" outlineLevel="0" collapsed="false">
      <c r="A24" s="38" t="str">
        <f aca="false">IF(B24="","",ROW()-14)</f>
        <v/>
      </c>
      <c r="B24" s="39" t="str">
        <f aca="false">IF(K23="","",IF(K23&gt;$K$2,"",K23))</f>
        <v/>
      </c>
      <c r="C24" s="38" t="str">
        <f aca="false">IF(B24="","",INDEX(הגדרות!$F$5:$F$11,WEEKDAY(B24)))</f>
        <v/>
      </c>
      <c r="D24" s="40" t="str">
        <f aca="false">IF(B24="","","הדרכה "&amp;TEXT(HOUR(הגדרות!$C$20),"00")&amp;":"&amp;TEXT(MINUTE(הגדרות!$C$20),"00")&amp;"–"&amp;TEXT(HOUR(הגדרות!$C$21),"00")&amp;":"&amp;TEXT(MINUTE(הגדרות!$C$21),"00"))</f>
        <v/>
      </c>
      <c r="E24" s="41" t="s">
        <v>83</v>
      </c>
      <c r="F24" s="42" t="str">
        <f aca="false">IF(B24="","",IF(E24="לא",0,הגדרות!$C$22))</f>
        <v/>
      </c>
      <c r="G24" s="43" t="str">
        <f aca="false">IF(B24="","",F24*הגדרות!$C$24)</f>
        <v/>
      </c>
      <c r="H24" s="44"/>
      <c r="I24" s="45"/>
      <c r="K24" s="27" t="str">
        <f aca="false">IF(B24="","",B24+MIN(MOD(הגדרות!$D$18-WEEKDAY(B24)-1,7)+1,MOD(הגדרות!$D$19-WEEKDAY(B24)-1,7)+1))</f>
        <v/>
      </c>
    </row>
    <row r="25" customFormat="false" ht="19.5" hidden="false" customHeight="true" outlineLevel="0" collapsed="false">
      <c r="A25" s="38" t="n">
        <f aca="false">COUNT($B$15:$B$24)+1</f>
        <v>9</v>
      </c>
      <c r="B25" s="46"/>
      <c r="C25" s="38" t="str">
        <f aca="false">IF(B25="","",INDEX(הגדרות!$F$5:$F$11,WEEKDAY(B25)))</f>
        <v/>
      </c>
      <c r="D25" s="40" t="s">
        <v>84</v>
      </c>
      <c r="E25" s="41" t="s">
        <v>83</v>
      </c>
      <c r="F25" s="42" t="n">
        <f aca="false">IF(E25="לא",0,הגדרות!$C$23)</f>
        <v>1</v>
      </c>
      <c r="G25" s="43" t="n">
        <f aca="false">F25*הגדרות!$C$24</f>
        <v>50</v>
      </c>
      <c r="H25" s="44"/>
      <c r="I25" s="45"/>
      <c r="K25" s="27"/>
    </row>
    <row r="26" customFormat="false" ht="21.75" hidden="false" customHeight="true" outlineLevel="0" collapsed="false">
      <c r="A26" s="47" t="s">
        <v>85</v>
      </c>
      <c r="B26" s="47"/>
      <c r="C26" s="47"/>
      <c r="D26" s="47"/>
      <c r="E26" s="47"/>
      <c r="F26" s="48" t="n">
        <f aca="false">SUM(F15:F25)</f>
        <v>29</v>
      </c>
      <c r="G26" s="49" t="n">
        <f aca="false">SUM(G15:G25)</f>
        <v>1450</v>
      </c>
      <c r="H26" s="47"/>
      <c r="I26" s="49" t="n">
        <f aca="false">SUM(I15:I25)</f>
        <v>0</v>
      </c>
    </row>
    <row r="28" customFormat="false" ht="19.5" hidden="false" customHeight="true" outlineLevel="0" collapsed="false">
      <c r="A28" s="50" t="s">
        <v>86</v>
      </c>
      <c r="B28" s="50"/>
      <c r="C28" s="50"/>
      <c r="D28" s="50"/>
      <c r="F28" s="40" t="s">
        <v>87</v>
      </c>
      <c r="G28" s="40"/>
      <c r="H28" s="40"/>
      <c r="I28" s="42" t="n">
        <f aca="false">F26</f>
        <v>29</v>
      </c>
    </row>
    <row r="29" customFormat="false" ht="30" hidden="false" customHeight="true" outlineLevel="0" collapsed="false">
      <c r="A29" s="51" t="str">
        <f aca="false">"• "&amp;הגדרות!$C$17&amp;": ימי "&amp;הגדרות!$C$18&amp;" ו"&amp;הגדרות!$C$19&amp;", "&amp;TEXT(HOUR(הגדרות!$C$20),"00")&amp;":"&amp;TEXT(MINUTE(הגדרות!$C$20),"00")&amp;"–"&amp;TEXT(HOUR(הגדרות!$C$21),"00")&amp;":"&amp;TEXT(MINUTE(הגדרות!$C$21),"00")&amp;" ("&amp;הגדרות!$C$22&amp;" שעות ליום), וישיבת צוות חודשית ("&amp;הגדרות!$C$23&amp;" ש׳)."</f>
        <v>• הדרכת שיקום: ימי ראשון וחמישי, 09:00–12:30 (3.5 שעות ליום), וישיבת צוות חודשית (1 ש׳).</v>
      </c>
      <c r="B29" s="51"/>
      <c r="C29" s="51"/>
      <c r="D29" s="51"/>
      <c r="E29" s="51"/>
      <c r="F29" s="40" t="str">
        <f aca="false">"הדרכת שיקום ("&amp;TEXT(F26,"0.0")&amp;" שעות × "&amp;הגדרות!$C$24&amp;" ₪)"</f>
        <v>הדרכת שיקום (29.0 שעות × 50 ₪)</v>
      </c>
      <c r="G29" s="40"/>
      <c r="H29" s="40"/>
      <c r="I29" s="43" t="n">
        <f aca="false">G26</f>
        <v>1450</v>
      </c>
    </row>
    <row r="30" customFormat="false" ht="19.5" hidden="false" customHeight="true" outlineLevel="0" collapsed="false">
      <c r="A30" s="51" t="str">
        <f aca="false">IF(הגדרות!$C$28="","","• "&amp;הגדרות!$C$28)</f>
        <v>• התעריף השעתי אינו כולל מע״מ. מע״מ יתווסף כחוק.</v>
      </c>
      <c r="B30" s="51"/>
      <c r="C30" s="51"/>
      <c r="D30" s="51"/>
      <c r="E30" s="51"/>
      <c r="F30" s="40" t="s">
        <v>88</v>
      </c>
      <c r="G30" s="40"/>
      <c r="H30" s="40"/>
      <c r="I30" s="43" t="n">
        <f aca="false">I26</f>
        <v>0</v>
      </c>
    </row>
    <row r="31" customFormat="false" ht="19.5" hidden="false" customHeight="true" outlineLevel="0" collapsed="false">
      <c r="A31" s="51" t="str">
        <f aca="false">IF(הגדרות!$C$29="","","• "&amp;הגדרות!$C$29)</f>
        <v>• פרויקטים פרטיים מתומחרים בנפרד, לפי הזמנת החווה.</v>
      </c>
      <c r="B31" s="51"/>
      <c r="C31" s="51"/>
      <c r="D31" s="51"/>
      <c r="E31" s="51"/>
      <c r="F31" s="52" t="s">
        <v>89</v>
      </c>
      <c r="G31" s="52"/>
      <c r="H31" s="52"/>
      <c r="I31" s="53" t="n">
        <f aca="false">I29+I30</f>
        <v>1450</v>
      </c>
    </row>
    <row r="32" customFormat="false" ht="19.5" hidden="false" customHeight="true" outlineLevel="0" collapsed="false">
      <c r="A32" s="51" t="str">
        <f aca="false">IF(הגדרות!$C$30="","","• "&amp;הגדרות!$C$30)</f>
        <v/>
      </c>
      <c r="B32" s="51"/>
      <c r="C32" s="51"/>
      <c r="D32" s="51"/>
      <c r="E32" s="51"/>
      <c r="F32" s="40" t="str">
        <f aca="false">"מע״מ "&amp;ROUND(הגדרות!$C$25*100,1)&amp;"%"</f>
        <v>מע״מ 18%</v>
      </c>
      <c r="G32" s="40"/>
      <c r="H32" s="40"/>
      <c r="I32" s="43" t="n">
        <f aca="false">ROUND(I31*הגדרות!$C$25,2)</f>
        <v>261</v>
      </c>
    </row>
    <row r="33" customFormat="false" ht="24" hidden="false" customHeight="true" outlineLevel="0" collapsed="false">
      <c r="F33" s="54" t="s">
        <v>90</v>
      </c>
      <c r="G33" s="54"/>
      <c r="H33" s="54"/>
      <c r="I33" s="55" t="n">
        <f aca="false">I31+I32</f>
        <v>1711</v>
      </c>
    </row>
    <row r="36" customFormat="false" ht="15" hidden="false" customHeight="false" outlineLevel="0" collapsed="false">
      <c r="A36" s="56" t="str">
        <f aca="false">"בברכה, "&amp;הגדרות!$C$6</f>
        <v>בברכה, (למילוי)</v>
      </c>
      <c r="B36" s="56"/>
      <c r="C36" s="56"/>
      <c r="D36" s="56"/>
      <c r="F36" s="56" t="s">
        <v>91</v>
      </c>
      <c r="G36" s="56"/>
      <c r="H36" s="56"/>
      <c r="I36" s="56"/>
    </row>
  </sheetData>
  <mergeCells count="44">
    <mergeCell ref="A1:I1"/>
    <mergeCell ref="A2:I2"/>
    <mergeCell ref="A4:D4"/>
    <mergeCell ref="F4:I4"/>
    <mergeCell ref="A5:B5"/>
    <mergeCell ref="C5:D5"/>
    <mergeCell ref="F5:G5"/>
    <mergeCell ref="H5:I5"/>
    <mergeCell ref="A6:B6"/>
    <mergeCell ref="C6:D6"/>
    <mergeCell ref="F6:G6"/>
    <mergeCell ref="H6:I6"/>
    <mergeCell ref="A7:B7"/>
    <mergeCell ref="C7:D7"/>
    <mergeCell ref="F7:G7"/>
    <mergeCell ref="H7:I7"/>
    <mergeCell ref="A8:B8"/>
    <mergeCell ref="C8:D8"/>
    <mergeCell ref="A9:B9"/>
    <mergeCell ref="C9:D9"/>
    <mergeCell ref="A11:B11"/>
    <mergeCell ref="C11:D11"/>
    <mergeCell ref="F11:G11"/>
    <mergeCell ref="H11:I11"/>
    <mergeCell ref="A12:B12"/>
    <mergeCell ref="C12:D12"/>
    <mergeCell ref="F12:G12"/>
    <mergeCell ref="H12:I12"/>
    <mergeCell ref="A13:G13"/>
    <mergeCell ref="H13:I13"/>
    <mergeCell ref="A26:E26"/>
    <mergeCell ref="A28:D28"/>
    <mergeCell ref="F28:H28"/>
    <mergeCell ref="A29:E29"/>
    <mergeCell ref="F29:H29"/>
    <mergeCell ref="A30:E30"/>
    <mergeCell ref="F30:H30"/>
    <mergeCell ref="A31:E31"/>
    <mergeCell ref="F31:H31"/>
    <mergeCell ref="A32:E32"/>
    <mergeCell ref="F32:H32"/>
    <mergeCell ref="F33:H33"/>
    <mergeCell ref="A36:D36"/>
    <mergeCell ref="F36:I36"/>
  </mergeCells>
  <conditionalFormatting sqref="E15:E24">
    <cfRule type="expression" priority="2" aboveAverage="0" equalAverage="0" bottom="0" percent="0" rank="0" text="" dxfId="0">
      <formula>$B15=""</formula>
    </cfRule>
  </conditionalFormatting>
  <conditionalFormatting sqref="A15:G25">
    <cfRule type="expression" priority="3" aboveAverage="0" equalAverage="0" bottom="0" percent="0" rank="0" text="" dxfId="1">
      <formula>$E15="לא"</formula>
    </cfRule>
  </conditionalFormatting>
  <dataValidations count="1">
    <dataValidation allowBlank="true" errorStyle="stop" operator="between" showDropDown="false" showErrorMessage="false" showInputMessage="false" sqref="E15:E25" type="list">
      <formula1>"כן,לא"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true" outlineLevel="0" max="11" min="11" style="0" width="13"/>
  </cols>
  <sheetData>
    <row r="1" customFormat="false" ht="36" hidden="false" customHeight="true" outlineLevel="0" collapsed="false">
      <c r="A1" s="26" t="s">
        <v>67</v>
      </c>
      <c r="B1" s="26"/>
      <c r="C1" s="26"/>
      <c r="D1" s="26"/>
      <c r="E1" s="26"/>
      <c r="F1" s="26"/>
      <c r="G1" s="26"/>
      <c r="H1" s="26"/>
      <c r="I1" s="26"/>
      <c r="K1" s="27" t="n">
        <f aca="false">DATE(YEAR($H$11),MONTH($H$11),1)</f>
        <v>46569</v>
      </c>
    </row>
    <row r="2" customFormat="false" ht="24" hidden="false" customHeight="true" outlineLevel="0" collapsed="false">
      <c r="A2" s="28" t="str">
        <f aca="false">הגדרות!$C$17&amp;" · "&amp;CHOOSE(MONTH($K$1),"ינואר","פברואר","מרץ","אפריל","מאי","יוני","יולי","אוגוסט","ספטמבר","אוקטובר","נובמבר","דצמבר")&amp;" "&amp;YEAR($K$1)</f>
        <v>הדרכת שיקום · יולי 2027</v>
      </c>
      <c r="B2" s="28"/>
      <c r="C2" s="28"/>
      <c r="D2" s="28"/>
      <c r="E2" s="28"/>
      <c r="F2" s="28"/>
      <c r="G2" s="28"/>
      <c r="H2" s="28"/>
      <c r="I2" s="28"/>
      <c r="K2" s="27" t="n">
        <f aca="false">EOMONTH($K$1,0)</f>
        <v>46599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9" t="s">
        <v>68</v>
      </c>
      <c r="B4" s="29"/>
      <c r="C4" s="29"/>
      <c r="D4" s="29"/>
      <c r="F4" s="29" t="s">
        <v>69</v>
      </c>
      <c r="G4" s="29"/>
      <c r="H4" s="29"/>
      <c r="I4" s="29"/>
    </row>
    <row r="5" customFormat="false" ht="15" hidden="false" customHeight="false" outlineLevel="0" collapsed="false">
      <c r="A5" s="30" t="s">
        <v>28</v>
      </c>
      <c r="B5" s="30"/>
      <c r="C5" s="31" t="str">
        <f aca="false">הגדרות!$C$5</f>
        <v>הנגרייה</v>
      </c>
      <c r="D5" s="31"/>
      <c r="F5" s="30" t="s">
        <v>44</v>
      </c>
      <c r="G5" s="30"/>
      <c r="H5" s="31" t="str">
        <f aca="false">הגדרות!$C$12</f>
        <v>חוות רום</v>
      </c>
      <c r="I5" s="31"/>
    </row>
    <row r="6" customFormat="false" ht="15" hidden="false" customHeight="false" outlineLevel="0" collapsed="false">
      <c r="A6" s="30" t="s">
        <v>31</v>
      </c>
      <c r="B6" s="30"/>
      <c r="C6" s="31" t="str">
        <f aca="false">הגדרות!$C$6</f>
        <v>(למילוי)</v>
      </c>
      <c r="D6" s="31"/>
      <c r="F6" s="30" t="s">
        <v>46</v>
      </c>
      <c r="G6" s="30"/>
      <c r="H6" s="31" t="str">
        <f aca="false">הגדרות!$C$13</f>
        <v>הר כמון</v>
      </c>
      <c r="I6" s="31"/>
    </row>
    <row r="7" customFormat="false" ht="15" hidden="false" customHeight="false" outlineLevel="0" collapsed="false">
      <c r="A7" s="30" t="s">
        <v>70</v>
      </c>
      <c r="B7" s="30"/>
      <c r="C7" s="31" t="str">
        <f aca="false">הגדרות!$C$7</f>
        <v>(למילוי)</v>
      </c>
      <c r="D7" s="31"/>
      <c r="F7" s="30" t="s">
        <v>48</v>
      </c>
      <c r="G7" s="30"/>
      <c r="H7" s="31" t="str">
        <f aca="false">הגדרות!$C$14</f>
        <v>(למילוי)</v>
      </c>
      <c r="I7" s="31"/>
    </row>
    <row r="8" customFormat="false" ht="15" hidden="false" customHeight="false" outlineLevel="0" collapsed="false">
      <c r="A8" s="30" t="s">
        <v>36</v>
      </c>
      <c r="B8" s="30"/>
      <c r="C8" s="31" t="str">
        <f aca="false">הגדרות!$C$8</f>
        <v>(למילוי)</v>
      </c>
      <c r="D8" s="31"/>
    </row>
    <row r="9" customFormat="false" ht="15" hidden="false" customHeight="false" outlineLevel="0" collapsed="false">
      <c r="A9" s="30" t="s">
        <v>38</v>
      </c>
      <c r="B9" s="30"/>
      <c r="C9" s="31" t="str">
        <f aca="false">הגדרות!$C$9</f>
        <v>nettaamit21@gmail.com</v>
      </c>
      <c r="D9" s="31"/>
    </row>
    <row r="10" customFormat="false" ht="9.75" hidden="false" customHeight="true" outlineLevel="0" collapsed="false"/>
    <row r="11" customFormat="false" ht="15" hidden="false" customHeight="false" outlineLevel="0" collapsed="false">
      <c r="A11" s="30" t="s">
        <v>71</v>
      </c>
      <c r="B11" s="30"/>
      <c r="C11" s="31" t="str">
        <f aca="false">YEAR($K$1)&amp;"-"&amp;TEXT(MONTH($K$1),"00")</f>
        <v>2027-07</v>
      </c>
      <c r="D11" s="31"/>
      <c r="F11" s="30" t="s">
        <v>72</v>
      </c>
      <c r="G11" s="30"/>
      <c r="H11" s="32" t="n">
        <v>46569</v>
      </c>
      <c r="I11" s="32"/>
    </row>
    <row r="12" customFormat="false" ht="15" hidden="false" customHeight="false" outlineLevel="0" collapsed="false">
      <c r="A12" s="30" t="s">
        <v>73</v>
      </c>
      <c r="B12" s="30"/>
      <c r="C12" s="33" t="n">
        <f aca="false">$K$2</f>
        <v>46599</v>
      </c>
      <c r="D12" s="33"/>
      <c r="F12" s="30" t="s">
        <v>74</v>
      </c>
      <c r="G12" s="30"/>
      <c r="H12" s="31" t="str">
        <f aca="false">הגדרות!$C$18&amp;" ו"&amp;הגדרות!$C$19&amp;", "&amp;TEXT(HOUR(הגדרות!$C$20),"00")&amp;":"&amp;TEXT(MINUTE(הגדרות!$C$20),"00")&amp;"–"&amp;TEXT(HOUR(הגדרות!$C$21),"00")&amp;":"&amp;TEXT(MINUTE(הגדרות!$C$21),"00")</f>
        <v>ראשון וחמישי, 09:00–12:30</v>
      </c>
      <c r="I12" s="31"/>
    </row>
    <row r="13" customFormat="false" ht="19.5" hidden="false" customHeight="true" outlineLevel="0" collapsed="false">
      <c r="A13" s="34" t="s">
        <v>75</v>
      </c>
      <c r="B13" s="34"/>
      <c r="C13" s="34"/>
      <c r="D13" s="34"/>
      <c r="E13" s="34"/>
      <c r="F13" s="34"/>
      <c r="G13" s="34"/>
      <c r="H13" s="35" t="s">
        <v>76</v>
      </c>
      <c r="I13" s="35"/>
    </row>
    <row r="14" customFormat="false" ht="27.75" hidden="false" customHeight="true" outlineLevel="0" collapsed="false">
      <c r="A14" s="36" t="s">
        <v>77</v>
      </c>
      <c r="B14" s="36" t="s">
        <v>73</v>
      </c>
      <c r="C14" s="36" t="s">
        <v>78</v>
      </c>
      <c r="D14" s="36" t="s">
        <v>79</v>
      </c>
      <c r="E14" s="36" t="s">
        <v>80</v>
      </c>
      <c r="F14" s="36" t="s">
        <v>81</v>
      </c>
      <c r="G14" s="36" t="s">
        <v>82</v>
      </c>
      <c r="H14" s="37" t="s">
        <v>21</v>
      </c>
      <c r="I14" s="37" t="s">
        <v>22</v>
      </c>
    </row>
    <row r="15" customFormat="false" ht="19.5" hidden="false" customHeight="true" outlineLevel="0" collapsed="false">
      <c r="A15" s="38" t="n">
        <f aca="false">IF(B15="","",ROW()-14)</f>
        <v>1</v>
      </c>
      <c r="B15" s="39" t="n">
        <f aca="false">$K$1+MIN(MOD(הגדרות!$D$18-WEEKDAY($K$1),7),MOD(הגדרות!$D$19-WEEKDAY($K$1),7))</f>
        <v>46569</v>
      </c>
      <c r="C15" s="38" t="str">
        <f aca="false">IF(B15="","",INDEX(הגדרות!$F$5:$F$11,WEEKDAY(B15)))</f>
        <v>חמישי</v>
      </c>
      <c r="D15" s="40" t="str">
        <f aca="false">IF(B15="","","הדרכה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5" s="41" t="s">
        <v>83</v>
      </c>
      <c r="F15" s="42" t="n">
        <f aca="false">IF(B15="","",IF(E15="לא",0,הגדרות!$C$22))</f>
        <v>3.5</v>
      </c>
      <c r="G15" s="43" t="n">
        <f aca="false">IF(B15="","",F15*הגדרות!$C$24)</f>
        <v>175</v>
      </c>
      <c r="H15" s="44"/>
      <c r="I15" s="45"/>
      <c r="K15" s="27" t="n">
        <f aca="false">IF(B15="","",B15+MIN(MOD(הגדרות!$D$18-WEEKDAY(B15)-1,7)+1,MOD(הגדרות!$D$19-WEEKDAY(B15)-1,7)+1))</f>
        <v>46572</v>
      </c>
    </row>
    <row r="16" customFormat="false" ht="19.5" hidden="false" customHeight="true" outlineLevel="0" collapsed="false">
      <c r="A16" s="38" t="n">
        <f aca="false">IF(B16="","",ROW()-14)</f>
        <v>2</v>
      </c>
      <c r="B16" s="39" t="n">
        <f aca="false">IF(K15="","",IF(K15&gt;$K$2,"",K15))</f>
        <v>46572</v>
      </c>
      <c r="C16" s="38" t="str">
        <f aca="false">IF(B16="","",INDEX(הגדרות!$F$5:$F$11,WEEKDAY(B16)))</f>
        <v>ראשון</v>
      </c>
      <c r="D16" s="40" t="str">
        <f aca="false">IF(B16="","","הדרכה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6" s="41" t="s">
        <v>83</v>
      </c>
      <c r="F16" s="42" t="n">
        <f aca="false">IF(B16="","",IF(E16="לא",0,הגדרות!$C$22))</f>
        <v>3.5</v>
      </c>
      <c r="G16" s="43" t="n">
        <f aca="false">IF(B16="","",F16*הגדרות!$C$24)</f>
        <v>175</v>
      </c>
      <c r="H16" s="44"/>
      <c r="I16" s="45"/>
      <c r="K16" s="27" t="n">
        <f aca="false">IF(B16="","",B16+MIN(MOD(הגדרות!$D$18-WEEKDAY(B16)-1,7)+1,MOD(הגדרות!$D$19-WEEKDAY(B16)-1,7)+1))</f>
        <v>46576</v>
      </c>
    </row>
    <row r="17" customFormat="false" ht="19.5" hidden="false" customHeight="true" outlineLevel="0" collapsed="false">
      <c r="A17" s="38" t="n">
        <f aca="false">IF(B17="","",ROW()-14)</f>
        <v>3</v>
      </c>
      <c r="B17" s="39" t="n">
        <f aca="false">IF(K16="","",IF(K16&gt;$K$2,"",K16))</f>
        <v>46576</v>
      </c>
      <c r="C17" s="38" t="str">
        <f aca="false">IF(B17="","",INDEX(הגדרות!$F$5:$F$11,WEEKDAY(B17)))</f>
        <v>חמישי</v>
      </c>
      <c r="D17" s="40" t="str">
        <f aca="false">IF(B17="","","הדרכה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7" s="41" t="s">
        <v>83</v>
      </c>
      <c r="F17" s="42" t="n">
        <f aca="false">IF(B17="","",IF(E17="לא",0,הגדרות!$C$22))</f>
        <v>3.5</v>
      </c>
      <c r="G17" s="43" t="n">
        <f aca="false">IF(B17="","",F17*הגדרות!$C$24)</f>
        <v>175</v>
      </c>
      <c r="H17" s="44"/>
      <c r="I17" s="45"/>
      <c r="K17" s="27" t="n">
        <f aca="false">IF(B17="","",B17+MIN(MOD(הגדרות!$D$18-WEEKDAY(B17)-1,7)+1,MOD(הגדרות!$D$19-WEEKDAY(B17)-1,7)+1))</f>
        <v>46579</v>
      </c>
    </row>
    <row r="18" customFormat="false" ht="19.5" hidden="false" customHeight="true" outlineLevel="0" collapsed="false">
      <c r="A18" s="38" t="n">
        <f aca="false">IF(B18="","",ROW()-14)</f>
        <v>4</v>
      </c>
      <c r="B18" s="39" t="n">
        <f aca="false">IF(K17="","",IF(K17&gt;$K$2,"",K17))</f>
        <v>46579</v>
      </c>
      <c r="C18" s="38" t="str">
        <f aca="false">IF(B18="","",INDEX(הגדרות!$F$5:$F$11,WEEKDAY(B18)))</f>
        <v>ראשון</v>
      </c>
      <c r="D18" s="40" t="str">
        <f aca="false">IF(B18="","","הדרכה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8" s="41" t="s">
        <v>83</v>
      </c>
      <c r="F18" s="42" t="n">
        <f aca="false">IF(B18="","",IF(E18="לא",0,הגדרות!$C$22))</f>
        <v>3.5</v>
      </c>
      <c r="G18" s="43" t="n">
        <f aca="false">IF(B18="","",F18*הגדרות!$C$24)</f>
        <v>175</v>
      </c>
      <c r="H18" s="44"/>
      <c r="I18" s="45"/>
      <c r="K18" s="27" t="n">
        <f aca="false">IF(B18="","",B18+MIN(MOD(הגדרות!$D$18-WEEKDAY(B18)-1,7)+1,MOD(הגדרות!$D$19-WEEKDAY(B18)-1,7)+1))</f>
        <v>46583</v>
      </c>
    </row>
    <row r="19" customFormat="false" ht="19.5" hidden="false" customHeight="true" outlineLevel="0" collapsed="false">
      <c r="A19" s="38" t="n">
        <f aca="false">IF(B19="","",ROW()-14)</f>
        <v>5</v>
      </c>
      <c r="B19" s="39" t="n">
        <f aca="false">IF(K18="","",IF(K18&gt;$K$2,"",K18))</f>
        <v>46583</v>
      </c>
      <c r="C19" s="38" t="str">
        <f aca="false">IF(B19="","",INDEX(הגדרות!$F$5:$F$11,WEEKDAY(B19)))</f>
        <v>חמישי</v>
      </c>
      <c r="D19" s="40" t="str">
        <f aca="false">IF(B19="","","הדרכה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9" s="41" t="s">
        <v>83</v>
      </c>
      <c r="F19" s="42" t="n">
        <f aca="false">IF(B19="","",IF(E19="לא",0,הגדרות!$C$22))</f>
        <v>3.5</v>
      </c>
      <c r="G19" s="43" t="n">
        <f aca="false">IF(B19="","",F19*הגדרות!$C$24)</f>
        <v>175</v>
      </c>
      <c r="H19" s="44"/>
      <c r="I19" s="45"/>
      <c r="K19" s="27" t="n">
        <f aca="false">IF(B19="","",B19+MIN(MOD(הגדרות!$D$18-WEEKDAY(B19)-1,7)+1,MOD(הגדרות!$D$19-WEEKDAY(B19)-1,7)+1))</f>
        <v>46586</v>
      </c>
    </row>
    <row r="20" customFormat="false" ht="19.5" hidden="false" customHeight="true" outlineLevel="0" collapsed="false">
      <c r="A20" s="38" t="n">
        <f aca="false">IF(B20="","",ROW()-14)</f>
        <v>6</v>
      </c>
      <c r="B20" s="39" t="n">
        <f aca="false">IF(K19="","",IF(K19&gt;$K$2,"",K19))</f>
        <v>46586</v>
      </c>
      <c r="C20" s="38" t="str">
        <f aca="false">IF(B20="","",INDEX(הגדרות!$F$5:$F$11,WEEKDAY(B20)))</f>
        <v>ראשון</v>
      </c>
      <c r="D20" s="40" t="str">
        <f aca="false">IF(B20="","","הדרכה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0" s="41" t="s">
        <v>83</v>
      </c>
      <c r="F20" s="42" t="n">
        <f aca="false">IF(B20="","",IF(E20="לא",0,הגדרות!$C$22))</f>
        <v>3.5</v>
      </c>
      <c r="G20" s="43" t="n">
        <f aca="false">IF(B20="","",F20*הגדרות!$C$24)</f>
        <v>175</v>
      </c>
      <c r="H20" s="44"/>
      <c r="I20" s="45"/>
      <c r="K20" s="27" t="n">
        <f aca="false">IF(B20="","",B20+MIN(MOD(הגדרות!$D$18-WEEKDAY(B20)-1,7)+1,MOD(הגדרות!$D$19-WEEKDAY(B20)-1,7)+1))</f>
        <v>46590</v>
      </c>
    </row>
    <row r="21" customFormat="false" ht="19.5" hidden="false" customHeight="true" outlineLevel="0" collapsed="false">
      <c r="A21" s="38" t="n">
        <f aca="false">IF(B21="","",ROW()-14)</f>
        <v>7</v>
      </c>
      <c r="B21" s="39" t="n">
        <f aca="false">IF(K20="","",IF(K20&gt;$K$2,"",K20))</f>
        <v>46590</v>
      </c>
      <c r="C21" s="38" t="str">
        <f aca="false">IF(B21="","",INDEX(הגדרות!$F$5:$F$11,WEEKDAY(B21)))</f>
        <v>חמישי</v>
      </c>
      <c r="D21" s="40" t="str">
        <f aca="false">IF(B21="","","הדרכה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1" s="41" t="s">
        <v>83</v>
      </c>
      <c r="F21" s="42" t="n">
        <f aca="false">IF(B21="","",IF(E21="לא",0,הגדרות!$C$22))</f>
        <v>3.5</v>
      </c>
      <c r="G21" s="43" t="n">
        <f aca="false">IF(B21="","",F21*הגדרות!$C$24)</f>
        <v>175</v>
      </c>
      <c r="H21" s="44"/>
      <c r="I21" s="45"/>
      <c r="K21" s="27" t="n">
        <f aca="false">IF(B21="","",B21+MIN(MOD(הגדרות!$D$18-WEEKDAY(B21)-1,7)+1,MOD(הגדרות!$D$19-WEEKDAY(B21)-1,7)+1))</f>
        <v>46593</v>
      </c>
    </row>
    <row r="22" customFormat="false" ht="19.5" hidden="false" customHeight="true" outlineLevel="0" collapsed="false">
      <c r="A22" s="38" t="n">
        <f aca="false">IF(B22="","",ROW()-14)</f>
        <v>8</v>
      </c>
      <c r="B22" s="39" t="n">
        <f aca="false">IF(K21="","",IF(K21&gt;$K$2,"",K21))</f>
        <v>46593</v>
      </c>
      <c r="C22" s="38" t="str">
        <f aca="false">IF(B22="","",INDEX(הגדרות!$F$5:$F$11,WEEKDAY(B22)))</f>
        <v>ראשון</v>
      </c>
      <c r="D22" s="40" t="str">
        <f aca="false">IF(B22="","","הדרכה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2" s="41" t="s">
        <v>83</v>
      </c>
      <c r="F22" s="42" t="n">
        <f aca="false">IF(B22="","",IF(E22="לא",0,הגדרות!$C$22))</f>
        <v>3.5</v>
      </c>
      <c r="G22" s="43" t="n">
        <f aca="false">IF(B22="","",F22*הגדרות!$C$24)</f>
        <v>175</v>
      </c>
      <c r="H22" s="44"/>
      <c r="I22" s="45"/>
      <c r="K22" s="27" t="n">
        <f aca="false">IF(B22="","",B22+MIN(MOD(הגדרות!$D$18-WEEKDAY(B22)-1,7)+1,MOD(הגדרות!$D$19-WEEKDAY(B22)-1,7)+1))</f>
        <v>46597</v>
      </c>
    </row>
    <row r="23" customFormat="false" ht="19.5" hidden="false" customHeight="true" outlineLevel="0" collapsed="false">
      <c r="A23" s="38" t="n">
        <f aca="false">IF(B23="","",ROW()-14)</f>
        <v>9</v>
      </c>
      <c r="B23" s="39" t="n">
        <f aca="false">IF(K22="","",IF(K22&gt;$K$2,"",K22))</f>
        <v>46597</v>
      </c>
      <c r="C23" s="38" t="str">
        <f aca="false">IF(B23="","",INDEX(הגדרות!$F$5:$F$11,WEEKDAY(B23)))</f>
        <v>חמישי</v>
      </c>
      <c r="D23" s="40" t="str">
        <f aca="false">IF(B23="","","הדרכה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3" s="41" t="s">
        <v>83</v>
      </c>
      <c r="F23" s="42" t="n">
        <f aca="false">IF(B23="","",IF(E23="לא",0,הגדרות!$C$22))</f>
        <v>3.5</v>
      </c>
      <c r="G23" s="43" t="n">
        <f aca="false">IF(B23="","",F23*הגדרות!$C$24)</f>
        <v>175</v>
      </c>
      <c r="H23" s="44"/>
      <c r="I23" s="45"/>
      <c r="K23" s="27" t="n">
        <f aca="false">IF(B23="","",B23+MIN(MOD(הגדרות!$D$18-WEEKDAY(B23)-1,7)+1,MOD(הגדרות!$D$19-WEEKDAY(B23)-1,7)+1))</f>
        <v>46600</v>
      </c>
    </row>
    <row r="24" customFormat="false" ht="19.5" hidden="false" customHeight="true" outlineLevel="0" collapsed="false">
      <c r="A24" s="38" t="str">
        <f aca="false">IF(B24="","",ROW()-14)</f>
        <v/>
      </c>
      <c r="B24" s="39" t="str">
        <f aca="false">IF(K23="","",IF(K23&gt;$K$2,"",K23))</f>
        <v/>
      </c>
      <c r="C24" s="38" t="str">
        <f aca="false">IF(B24="","",INDEX(הגדרות!$F$5:$F$11,WEEKDAY(B24)))</f>
        <v/>
      </c>
      <c r="D24" s="40" t="str">
        <f aca="false">IF(B24="","","הדרכה "&amp;TEXT(HOUR(הגדרות!$C$20),"00")&amp;":"&amp;TEXT(MINUTE(הגדרות!$C$20),"00")&amp;"–"&amp;TEXT(HOUR(הגדרות!$C$21),"00")&amp;":"&amp;TEXT(MINUTE(הגדרות!$C$21),"00"))</f>
        <v/>
      </c>
      <c r="E24" s="41" t="s">
        <v>83</v>
      </c>
      <c r="F24" s="42" t="str">
        <f aca="false">IF(B24="","",IF(E24="לא",0,הגדרות!$C$22))</f>
        <v/>
      </c>
      <c r="G24" s="43" t="str">
        <f aca="false">IF(B24="","",F24*הגדרות!$C$24)</f>
        <v/>
      </c>
      <c r="H24" s="44"/>
      <c r="I24" s="45"/>
      <c r="K24" s="27" t="str">
        <f aca="false">IF(B24="","",B24+MIN(MOD(הגדרות!$D$18-WEEKDAY(B24)-1,7)+1,MOD(הגדרות!$D$19-WEEKDAY(B24)-1,7)+1))</f>
        <v/>
      </c>
    </row>
    <row r="25" customFormat="false" ht="19.5" hidden="false" customHeight="true" outlineLevel="0" collapsed="false">
      <c r="A25" s="38" t="n">
        <f aca="false">COUNT($B$15:$B$24)+1</f>
        <v>10</v>
      </c>
      <c r="B25" s="46"/>
      <c r="C25" s="38" t="str">
        <f aca="false">IF(B25="","",INDEX(הגדרות!$F$5:$F$11,WEEKDAY(B25)))</f>
        <v/>
      </c>
      <c r="D25" s="40" t="s">
        <v>84</v>
      </c>
      <c r="E25" s="41" t="s">
        <v>83</v>
      </c>
      <c r="F25" s="42" t="n">
        <f aca="false">IF(E25="לא",0,הגדרות!$C$23)</f>
        <v>1</v>
      </c>
      <c r="G25" s="43" t="n">
        <f aca="false">F25*הגדרות!$C$24</f>
        <v>50</v>
      </c>
      <c r="H25" s="44"/>
      <c r="I25" s="45"/>
      <c r="K25" s="27"/>
    </row>
    <row r="26" customFormat="false" ht="21.75" hidden="false" customHeight="true" outlineLevel="0" collapsed="false">
      <c r="A26" s="47" t="s">
        <v>85</v>
      </c>
      <c r="B26" s="47"/>
      <c r="C26" s="47"/>
      <c r="D26" s="47"/>
      <c r="E26" s="47"/>
      <c r="F26" s="48" t="n">
        <f aca="false">SUM(F15:F25)</f>
        <v>32.5</v>
      </c>
      <c r="G26" s="49" t="n">
        <f aca="false">SUM(G15:G25)</f>
        <v>1625</v>
      </c>
      <c r="H26" s="47"/>
      <c r="I26" s="49" t="n">
        <f aca="false">SUM(I15:I25)</f>
        <v>0</v>
      </c>
    </row>
    <row r="28" customFormat="false" ht="19.5" hidden="false" customHeight="true" outlineLevel="0" collapsed="false">
      <c r="A28" s="50" t="s">
        <v>86</v>
      </c>
      <c r="B28" s="50"/>
      <c r="C28" s="50"/>
      <c r="D28" s="50"/>
      <c r="F28" s="40" t="s">
        <v>87</v>
      </c>
      <c r="G28" s="40"/>
      <c r="H28" s="40"/>
      <c r="I28" s="42" t="n">
        <f aca="false">F26</f>
        <v>32.5</v>
      </c>
    </row>
    <row r="29" customFormat="false" ht="30" hidden="false" customHeight="true" outlineLevel="0" collapsed="false">
      <c r="A29" s="51" t="str">
        <f aca="false">"• "&amp;הגדרות!$C$17&amp;": ימי "&amp;הגדרות!$C$18&amp;" ו"&amp;הגדרות!$C$19&amp;", "&amp;TEXT(HOUR(הגדרות!$C$20),"00")&amp;":"&amp;TEXT(MINUTE(הגדרות!$C$20),"00")&amp;"–"&amp;TEXT(HOUR(הגדרות!$C$21),"00")&amp;":"&amp;TEXT(MINUTE(הגדרות!$C$21),"00")&amp;" ("&amp;הגדרות!$C$22&amp;" שעות ליום), וישיבת צוות חודשית ("&amp;הגדרות!$C$23&amp;" ש׳)."</f>
        <v>• הדרכת שיקום: ימי ראשון וחמישי, 09:00–12:30 (3.5 שעות ליום), וישיבת צוות חודשית (1 ש׳).</v>
      </c>
      <c r="B29" s="51"/>
      <c r="C29" s="51"/>
      <c r="D29" s="51"/>
      <c r="E29" s="51"/>
      <c r="F29" s="40" t="str">
        <f aca="false">"הדרכת שיקום ("&amp;TEXT(F26,"0.0")&amp;" שעות × "&amp;הגדרות!$C$24&amp;" ₪)"</f>
        <v>הדרכת שיקום (32.5 שעות × 50 ₪)</v>
      </c>
      <c r="G29" s="40"/>
      <c r="H29" s="40"/>
      <c r="I29" s="43" t="n">
        <f aca="false">G26</f>
        <v>1625</v>
      </c>
    </row>
    <row r="30" customFormat="false" ht="19.5" hidden="false" customHeight="true" outlineLevel="0" collapsed="false">
      <c r="A30" s="51" t="str">
        <f aca="false">IF(הגדרות!$C$28="","","• "&amp;הגדרות!$C$28)</f>
        <v>• התעריף השעתי אינו כולל מע״מ. מע״מ יתווסף כחוק.</v>
      </c>
      <c r="B30" s="51"/>
      <c r="C30" s="51"/>
      <c r="D30" s="51"/>
      <c r="E30" s="51"/>
      <c r="F30" s="40" t="s">
        <v>88</v>
      </c>
      <c r="G30" s="40"/>
      <c r="H30" s="40"/>
      <c r="I30" s="43" t="n">
        <f aca="false">I26</f>
        <v>0</v>
      </c>
    </row>
    <row r="31" customFormat="false" ht="19.5" hidden="false" customHeight="true" outlineLevel="0" collapsed="false">
      <c r="A31" s="51" t="str">
        <f aca="false">IF(הגדרות!$C$29="","","• "&amp;הגדרות!$C$29)</f>
        <v>• פרויקטים פרטיים מתומחרים בנפרד, לפי הזמנת החווה.</v>
      </c>
      <c r="B31" s="51"/>
      <c r="C31" s="51"/>
      <c r="D31" s="51"/>
      <c r="E31" s="51"/>
      <c r="F31" s="52" t="s">
        <v>89</v>
      </c>
      <c r="G31" s="52"/>
      <c r="H31" s="52"/>
      <c r="I31" s="53" t="n">
        <f aca="false">I29+I30</f>
        <v>1625</v>
      </c>
    </row>
    <row r="32" customFormat="false" ht="19.5" hidden="false" customHeight="true" outlineLevel="0" collapsed="false">
      <c r="A32" s="51" t="str">
        <f aca="false">IF(הגדרות!$C$30="","","• "&amp;הגדרות!$C$30)</f>
        <v/>
      </c>
      <c r="B32" s="51"/>
      <c r="C32" s="51"/>
      <c r="D32" s="51"/>
      <c r="E32" s="51"/>
      <c r="F32" s="40" t="str">
        <f aca="false">"מע״מ "&amp;ROUND(הגדרות!$C$25*100,1)&amp;"%"</f>
        <v>מע״מ 18%</v>
      </c>
      <c r="G32" s="40"/>
      <c r="H32" s="40"/>
      <c r="I32" s="43" t="n">
        <f aca="false">ROUND(I31*הגדרות!$C$25,2)</f>
        <v>292.5</v>
      </c>
    </row>
    <row r="33" customFormat="false" ht="24" hidden="false" customHeight="true" outlineLevel="0" collapsed="false">
      <c r="F33" s="54" t="s">
        <v>90</v>
      </c>
      <c r="G33" s="54"/>
      <c r="H33" s="54"/>
      <c r="I33" s="55" t="n">
        <f aca="false">I31+I32</f>
        <v>1917.5</v>
      </c>
    </row>
    <row r="36" customFormat="false" ht="15" hidden="false" customHeight="false" outlineLevel="0" collapsed="false">
      <c r="A36" s="56" t="str">
        <f aca="false">"בברכה, "&amp;הגדרות!$C$6</f>
        <v>בברכה, (למילוי)</v>
      </c>
      <c r="B36" s="56"/>
      <c r="C36" s="56"/>
      <c r="D36" s="56"/>
      <c r="F36" s="56" t="s">
        <v>91</v>
      </c>
      <c r="G36" s="56"/>
      <c r="H36" s="56"/>
      <c r="I36" s="56"/>
    </row>
  </sheetData>
  <mergeCells count="44">
    <mergeCell ref="A1:I1"/>
    <mergeCell ref="A2:I2"/>
    <mergeCell ref="A4:D4"/>
    <mergeCell ref="F4:I4"/>
    <mergeCell ref="A5:B5"/>
    <mergeCell ref="C5:D5"/>
    <mergeCell ref="F5:G5"/>
    <mergeCell ref="H5:I5"/>
    <mergeCell ref="A6:B6"/>
    <mergeCell ref="C6:D6"/>
    <mergeCell ref="F6:G6"/>
    <mergeCell ref="H6:I6"/>
    <mergeCell ref="A7:B7"/>
    <mergeCell ref="C7:D7"/>
    <mergeCell ref="F7:G7"/>
    <mergeCell ref="H7:I7"/>
    <mergeCell ref="A8:B8"/>
    <mergeCell ref="C8:D8"/>
    <mergeCell ref="A9:B9"/>
    <mergeCell ref="C9:D9"/>
    <mergeCell ref="A11:B11"/>
    <mergeCell ref="C11:D11"/>
    <mergeCell ref="F11:G11"/>
    <mergeCell ref="H11:I11"/>
    <mergeCell ref="A12:B12"/>
    <mergeCell ref="C12:D12"/>
    <mergeCell ref="F12:G12"/>
    <mergeCell ref="H12:I12"/>
    <mergeCell ref="A13:G13"/>
    <mergeCell ref="H13:I13"/>
    <mergeCell ref="A26:E26"/>
    <mergeCell ref="A28:D28"/>
    <mergeCell ref="F28:H28"/>
    <mergeCell ref="A29:E29"/>
    <mergeCell ref="F29:H29"/>
    <mergeCell ref="A30:E30"/>
    <mergeCell ref="F30:H30"/>
    <mergeCell ref="A31:E31"/>
    <mergeCell ref="F31:H31"/>
    <mergeCell ref="A32:E32"/>
    <mergeCell ref="F32:H32"/>
    <mergeCell ref="F33:H33"/>
    <mergeCell ref="A36:D36"/>
    <mergeCell ref="F36:I36"/>
  </mergeCells>
  <conditionalFormatting sqref="E15:E24">
    <cfRule type="expression" priority="2" aboveAverage="0" equalAverage="0" bottom="0" percent="0" rank="0" text="" dxfId="0">
      <formula>$B15=""</formula>
    </cfRule>
  </conditionalFormatting>
  <conditionalFormatting sqref="A15:G25">
    <cfRule type="expression" priority="3" aboveAverage="0" equalAverage="0" bottom="0" percent="0" rank="0" text="" dxfId="1">
      <formula>$E15="לא"</formula>
    </cfRule>
  </conditionalFormatting>
  <dataValidations count="1">
    <dataValidation allowBlank="true" errorStyle="stop" operator="between" showDropDown="false" showErrorMessage="false" showInputMessage="false" sqref="E15:E25" type="list">
      <formula1>"כן,לא"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true" outlineLevel="0" max="11" min="11" style="0" width="13"/>
  </cols>
  <sheetData>
    <row r="1" customFormat="false" ht="36" hidden="false" customHeight="true" outlineLevel="0" collapsed="false">
      <c r="A1" s="26" t="s">
        <v>67</v>
      </c>
      <c r="B1" s="26"/>
      <c r="C1" s="26"/>
      <c r="D1" s="26"/>
      <c r="E1" s="26"/>
      <c r="F1" s="26"/>
      <c r="G1" s="26"/>
      <c r="H1" s="26"/>
      <c r="I1" s="26"/>
      <c r="K1" s="27" t="n">
        <f aca="false">DATE(YEAR($H$11),MONTH($H$11),1)</f>
        <v>46600</v>
      </c>
    </row>
    <row r="2" customFormat="false" ht="24" hidden="false" customHeight="true" outlineLevel="0" collapsed="false">
      <c r="A2" s="28" t="str">
        <f aca="false">הגדרות!$C$17&amp;" · "&amp;CHOOSE(MONTH($K$1),"ינואר","פברואר","מרץ","אפריל","מאי","יוני","יולי","אוגוסט","ספטמבר","אוקטובר","נובמבר","דצמבר")&amp;" "&amp;YEAR($K$1)</f>
        <v>הדרכת שיקום · אוגוסט 2027</v>
      </c>
      <c r="B2" s="28"/>
      <c r="C2" s="28"/>
      <c r="D2" s="28"/>
      <c r="E2" s="28"/>
      <c r="F2" s="28"/>
      <c r="G2" s="28"/>
      <c r="H2" s="28"/>
      <c r="I2" s="28"/>
      <c r="K2" s="27" t="n">
        <f aca="false">EOMONTH($K$1,0)</f>
        <v>46630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9" t="s">
        <v>68</v>
      </c>
      <c r="B4" s="29"/>
      <c r="C4" s="29"/>
      <c r="D4" s="29"/>
      <c r="F4" s="29" t="s">
        <v>69</v>
      </c>
      <c r="G4" s="29"/>
      <c r="H4" s="29"/>
      <c r="I4" s="29"/>
    </row>
    <row r="5" customFormat="false" ht="15" hidden="false" customHeight="false" outlineLevel="0" collapsed="false">
      <c r="A5" s="30" t="s">
        <v>28</v>
      </c>
      <c r="B5" s="30"/>
      <c r="C5" s="31" t="str">
        <f aca="false">הגדרות!$C$5</f>
        <v>הנגרייה</v>
      </c>
      <c r="D5" s="31"/>
      <c r="F5" s="30" t="s">
        <v>44</v>
      </c>
      <c r="G5" s="30"/>
      <c r="H5" s="31" t="str">
        <f aca="false">הגדרות!$C$12</f>
        <v>חוות רום</v>
      </c>
      <c r="I5" s="31"/>
    </row>
    <row r="6" customFormat="false" ht="15" hidden="false" customHeight="false" outlineLevel="0" collapsed="false">
      <c r="A6" s="30" t="s">
        <v>31</v>
      </c>
      <c r="B6" s="30"/>
      <c r="C6" s="31" t="str">
        <f aca="false">הגדרות!$C$6</f>
        <v>(למילוי)</v>
      </c>
      <c r="D6" s="31"/>
      <c r="F6" s="30" t="s">
        <v>46</v>
      </c>
      <c r="G6" s="30"/>
      <c r="H6" s="31" t="str">
        <f aca="false">הגדרות!$C$13</f>
        <v>הר כמון</v>
      </c>
      <c r="I6" s="31"/>
    </row>
    <row r="7" customFormat="false" ht="15" hidden="false" customHeight="false" outlineLevel="0" collapsed="false">
      <c r="A7" s="30" t="s">
        <v>70</v>
      </c>
      <c r="B7" s="30"/>
      <c r="C7" s="31" t="str">
        <f aca="false">הגדרות!$C$7</f>
        <v>(למילוי)</v>
      </c>
      <c r="D7" s="31"/>
      <c r="F7" s="30" t="s">
        <v>48</v>
      </c>
      <c r="G7" s="30"/>
      <c r="H7" s="31" t="str">
        <f aca="false">הגדרות!$C$14</f>
        <v>(למילוי)</v>
      </c>
      <c r="I7" s="31"/>
    </row>
    <row r="8" customFormat="false" ht="15" hidden="false" customHeight="false" outlineLevel="0" collapsed="false">
      <c r="A8" s="30" t="s">
        <v>36</v>
      </c>
      <c r="B8" s="30"/>
      <c r="C8" s="31" t="str">
        <f aca="false">הגדרות!$C$8</f>
        <v>(למילוי)</v>
      </c>
      <c r="D8" s="31"/>
    </row>
    <row r="9" customFormat="false" ht="15" hidden="false" customHeight="false" outlineLevel="0" collapsed="false">
      <c r="A9" s="30" t="s">
        <v>38</v>
      </c>
      <c r="B9" s="30"/>
      <c r="C9" s="31" t="str">
        <f aca="false">הגדרות!$C$9</f>
        <v>nettaamit21@gmail.com</v>
      </c>
      <c r="D9" s="31"/>
    </row>
    <row r="10" customFormat="false" ht="9.75" hidden="false" customHeight="true" outlineLevel="0" collapsed="false"/>
    <row r="11" customFormat="false" ht="15" hidden="false" customHeight="false" outlineLevel="0" collapsed="false">
      <c r="A11" s="30" t="s">
        <v>71</v>
      </c>
      <c r="B11" s="30"/>
      <c r="C11" s="31" t="str">
        <f aca="false">YEAR($K$1)&amp;"-"&amp;TEXT(MONTH($K$1),"00")</f>
        <v>2027-08</v>
      </c>
      <c r="D11" s="31"/>
      <c r="F11" s="30" t="s">
        <v>72</v>
      </c>
      <c r="G11" s="30"/>
      <c r="H11" s="32" t="n">
        <v>46600</v>
      </c>
      <c r="I11" s="32"/>
    </row>
    <row r="12" customFormat="false" ht="15" hidden="false" customHeight="false" outlineLevel="0" collapsed="false">
      <c r="A12" s="30" t="s">
        <v>73</v>
      </c>
      <c r="B12" s="30"/>
      <c r="C12" s="33" t="n">
        <f aca="false">$K$2</f>
        <v>46630</v>
      </c>
      <c r="D12" s="33"/>
      <c r="F12" s="30" t="s">
        <v>74</v>
      </c>
      <c r="G12" s="30"/>
      <c r="H12" s="31" t="str">
        <f aca="false">הגדרות!$C$18&amp;" ו"&amp;הגדרות!$C$19&amp;", "&amp;TEXT(HOUR(הגדרות!$C$20),"00")&amp;":"&amp;TEXT(MINUTE(הגדרות!$C$20),"00")&amp;"–"&amp;TEXT(HOUR(הגדרות!$C$21),"00")&amp;":"&amp;TEXT(MINUTE(הגדרות!$C$21),"00")</f>
        <v>ראשון וחמישי, 09:00–12:30</v>
      </c>
      <c r="I12" s="31"/>
    </row>
    <row r="13" customFormat="false" ht="19.5" hidden="false" customHeight="true" outlineLevel="0" collapsed="false">
      <c r="A13" s="34" t="s">
        <v>75</v>
      </c>
      <c r="B13" s="34"/>
      <c r="C13" s="34"/>
      <c r="D13" s="34"/>
      <c r="E13" s="34"/>
      <c r="F13" s="34"/>
      <c r="G13" s="34"/>
      <c r="H13" s="35" t="s">
        <v>76</v>
      </c>
      <c r="I13" s="35"/>
    </row>
    <row r="14" customFormat="false" ht="27.75" hidden="false" customHeight="true" outlineLevel="0" collapsed="false">
      <c r="A14" s="36" t="s">
        <v>77</v>
      </c>
      <c r="B14" s="36" t="s">
        <v>73</v>
      </c>
      <c r="C14" s="36" t="s">
        <v>78</v>
      </c>
      <c r="D14" s="36" t="s">
        <v>79</v>
      </c>
      <c r="E14" s="36" t="s">
        <v>80</v>
      </c>
      <c r="F14" s="36" t="s">
        <v>81</v>
      </c>
      <c r="G14" s="36" t="s">
        <v>82</v>
      </c>
      <c r="H14" s="37" t="s">
        <v>21</v>
      </c>
      <c r="I14" s="37" t="s">
        <v>22</v>
      </c>
    </row>
    <row r="15" customFormat="false" ht="19.5" hidden="false" customHeight="true" outlineLevel="0" collapsed="false">
      <c r="A15" s="38" t="n">
        <f aca="false">IF(B15="","",ROW()-14)</f>
        <v>1</v>
      </c>
      <c r="B15" s="39" t="n">
        <f aca="false">$K$1+MIN(MOD(הגדרות!$D$18-WEEKDAY($K$1),7),MOD(הגדרות!$D$19-WEEKDAY($K$1),7))</f>
        <v>46600</v>
      </c>
      <c r="C15" s="38" t="str">
        <f aca="false">IF(B15="","",INDEX(הגדרות!$F$5:$F$11,WEEKDAY(B15)))</f>
        <v>ראשון</v>
      </c>
      <c r="D15" s="40" t="str">
        <f aca="false">IF(B15="","","הדרכה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5" s="41" t="s">
        <v>83</v>
      </c>
      <c r="F15" s="42" t="n">
        <f aca="false">IF(B15="","",IF(E15="לא",0,הגדרות!$C$22))</f>
        <v>3.5</v>
      </c>
      <c r="G15" s="43" t="n">
        <f aca="false">IF(B15="","",F15*הגדרות!$C$24)</f>
        <v>175</v>
      </c>
      <c r="H15" s="44"/>
      <c r="I15" s="45"/>
      <c r="K15" s="27" t="n">
        <f aca="false">IF(B15="","",B15+MIN(MOD(הגדרות!$D$18-WEEKDAY(B15)-1,7)+1,MOD(הגדרות!$D$19-WEEKDAY(B15)-1,7)+1))</f>
        <v>46604</v>
      </c>
    </row>
    <row r="16" customFormat="false" ht="19.5" hidden="false" customHeight="true" outlineLevel="0" collapsed="false">
      <c r="A16" s="38" t="n">
        <f aca="false">IF(B16="","",ROW()-14)</f>
        <v>2</v>
      </c>
      <c r="B16" s="39" t="n">
        <f aca="false">IF(K15="","",IF(K15&gt;$K$2,"",K15))</f>
        <v>46604</v>
      </c>
      <c r="C16" s="38" t="str">
        <f aca="false">IF(B16="","",INDEX(הגדרות!$F$5:$F$11,WEEKDAY(B16)))</f>
        <v>חמישי</v>
      </c>
      <c r="D16" s="40" t="str">
        <f aca="false">IF(B16="","","הדרכה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6" s="41" t="s">
        <v>83</v>
      </c>
      <c r="F16" s="42" t="n">
        <f aca="false">IF(B16="","",IF(E16="לא",0,הגדרות!$C$22))</f>
        <v>3.5</v>
      </c>
      <c r="G16" s="43" t="n">
        <f aca="false">IF(B16="","",F16*הגדרות!$C$24)</f>
        <v>175</v>
      </c>
      <c r="H16" s="44"/>
      <c r="I16" s="45"/>
      <c r="K16" s="27" t="n">
        <f aca="false">IF(B16="","",B16+MIN(MOD(הגדרות!$D$18-WEEKDAY(B16)-1,7)+1,MOD(הגדרות!$D$19-WEEKDAY(B16)-1,7)+1))</f>
        <v>46607</v>
      </c>
    </row>
    <row r="17" customFormat="false" ht="19.5" hidden="false" customHeight="true" outlineLevel="0" collapsed="false">
      <c r="A17" s="38" t="n">
        <f aca="false">IF(B17="","",ROW()-14)</f>
        <v>3</v>
      </c>
      <c r="B17" s="39" t="n">
        <f aca="false">IF(K16="","",IF(K16&gt;$K$2,"",K16))</f>
        <v>46607</v>
      </c>
      <c r="C17" s="38" t="str">
        <f aca="false">IF(B17="","",INDEX(הגדרות!$F$5:$F$11,WEEKDAY(B17)))</f>
        <v>ראשון</v>
      </c>
      <c r="D17" s="40" t="str">
        <f aca="false">IF(B17="","","הדרכה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7" s="41" t="s">
        <v>83</v>
      </c>
      <c r="F17" s="42" t="n">
        <f aca="false">IF(B17="","",IF(E17="לא",0,הגדרות!$C$22))</f>
        <v>3.5</v>
      </c>
      <c r="G17" s="43" t="n">
        <f aca="false">IF(B17="","",F17*הגדרות!$C$24)</f>
        <v>175</v>
      </c>
      <c r="H17" s="44"/>
      <c r="I17" s="45"/>
      <c r="K17" s="27" t="n">
        <f aca="false">IF(B17="","",B17+MIN(MOD(הגדרות!$D$18-WEEKDAY(B17)-1,7)+1,MOD(הגדרות!$D$19-WEEKDAY(B17)-1,7)+1))</f>
        <v>46611</v>
      </c>
    </row>
    <row r="18" customFormat="false" ht="19.5" hidden="false" customHeight="true" outlineLevel="0" collapsed="false">
      <c r="A18" s="38" t="n">
        <f aca="false">IF(B18="","",ROW()-14)</f>
        <v>4</v>
      </c>
      <c r="B18" s="39" t="n">
        <f aca="false">IF(K17="","",IF(K17&gt;$K$2,"",K17))</f>
        <v>46611</v>
      </c>
      <c r="C18" s="38" t="str">
        <f aca="false">IF(B18="","",INDEX(הגדרות!$F$5:$F$11,WEEKDAY(B18)))</f>
        <v>חמישי</v>
      </c>
      <c r="D18" s="40" t="str">
        <f aca="false">IF(B18="","","הדרכה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8" s="41" t="s">
        <v>83</v>
      </c>
      <c r="F18" s="42" t="n">
        <f aca="false">IF(B18="","",IF(E18="לא",0,הגדרות!$C$22))</f>
        <v>3.5</v>
      </c>
      <c r="G18" s="43" t="n">
        <f aca="false">IF(B18="","",F18*הגדרות!$C$24)</f>
        <v>175</v>
      </c>
      <c r="H18" s="44"/>
      <c r="I18" s="45"/>
      <c r="K18" s="27" t="n">
        <f aca="false">IF(B18="","",B18+MIN(MOD(הגדרות!$D$18-WEEKDAY(B18)-1,7)+1,MOD(הגדרות!$D$19-WEEKDAY(B18)-1,7)+1))</f>
        <v>46614</v>
      </c>
    </row>
    <row r="19" customFormat="false" ht="19.5" hidden="false" customHeight="true" outlineLevel="0" collapsed="false">
      <c r="A19" s="38" t="n">
        <f aca="false">IF(B19="","",ROW()-14)</f>
        <v>5</v>
      </c>
      <c r="B19" s="39" t="n">
        <f aca="false">IF(K18="","",IF(K18&gt;$K$2,"",K18))</f>
        <v>46614</v>
      </c>
      <c r="C19" s="38" t="str">
        <f aca="false">IF(B19="","",INDEX(הגדרות!$F$5:$F$11,WEEKDAY(B19)))</f>
        <v>ראשון</v>
      </c>
      <c r="D19" s="40" t="str">
        <f aca="false">IF(B19="","","הדרכה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9" s="41" t="s">
        <v>83</v>
      </c>
      <c r="F19" s="42" t="n">
        <f aca="false">IF(B19="","",IF(E19="לא",0,הגדרות!$C$22))</f>
        <v>3.5</v>
      </c>
      <c r="G19" s="43" t="n">
        <f aca="false">IF(B19="","",F19*הגדרות!$C$24)</f>
        <v>175</v>
      </c>
      <c r="H19" s="44"/>
      <c r="I19" s="45"/>
      <c r="K19" s="27" t="n">
        <f aca="false">IF(B19="","",B19+MIN(MOD(הגדרות!$D$18-WEEKDAY(B19)-1,7)+1,MOD(הגדרות!$D$19-WEEKDAY(B19)-1,7)+1))</f>
        <v>46618</v>
      </c>
    </row>
    <row r="20" customFormat="false" ht="19.5" hidden="false" customHeight="true" outlineLevel="0" collapsed="false">
      <c r="A20" s="38" t="n">
        <f aca="false">IF(B20="","",ROW()-14)</f>
        <v>6</v>
      </c>
      <c r="B20" s="39" t="n">
        <f aca="false">IF(K19="","",IF(K19&gt;$K$2,"",K19))</f>
        <v>46618</v>
      </c>
      <c r="C20" s="38" t="str">
        <f aca="false">IF(B20="","",INDEX(הגדרות!$F$5:$F$11,WEEKDAY(B20)))</f>
        <v>חמישי</v>
      </c>
      <c r="D20" s="40" t="str">
        <f aca="false">IF(B20="","","הדרכה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0" s="41" t="s">
        <v>83</v>
      </c>
      <c r="F20" s="42" t="n">
        <f aca="false">IF(B20="","",IF(E20="לא",0,הגדרות!$C$22))</f>
        <v>3.5</v>
      </c>
      <c r="G20" s="43" t="n">
        <f aca="false">IF(B20="","",F20*הגדרות!$C$24)</f>
        <v>175</v>
      </c>
      <c r="H20" s="44"/>
      <c r="I20" s="45"/>
      <c r="K20" s="27" t="n">
        <f aca="false">IF(B20="","",B20+MIN(MOD(הגדרות!$D$18-WEEKDAY(B20)-1,7)+1,MOD(הגדרות!$D$19-WEEKDAY(B20)-1,7)+1))</f>
        <v>46621</v>
      </c>
    </row>
    <row r="21" customFormat="false" ht="19.5" hidden="false" customHeight="true" outlineLevel="0" collapsed="false">
      <c r="A21" s="38" t="n">
        <f aca="false">IF(B21="","",ROW()-14)</f>
        <v>7</v>
      </c>
      <c r="B21" s="39" t="n">
        <f aca="false">IF(K20="","",IF(K20&gt;$K$2,"",K20))</f>
        <v>46621</v>
      </c>
      <c r="C21" s="38" t="str">
        <f aca="false">IF(B21="","",INDEX(הגדרות!$F$5:$F$11,WEEKDAY(B21)))</f>
        <v>ראשון</v>
      </c>
      <c r="D21" s="40" t="str">
        <f aca="false">IF(B21="","","הדרכה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1" s="41" t="s">
        <v>83</v>
      </c>
      <c r="F21" s="42" t="n">
        <f aca="false">IF(B21="","",IF(E21="לא",0,הגדרות!$C$22))</f>
        <v>3.5</v>
      </c>
      <c r="G21" s="43" t="n">
        <f aca="false">IF(B21="","",F21*הגדרות!$C$24)</f>
        <v>175</v>
      </c>
      <c r="H21" s="44"/>
      <c r="I21" s="45"/>
      <c r="K21" s="27" t="n">
        <f aca="false">IF(B21="","",B21+MIN(MOD(הגדרות!$D$18-WEEKDAY(B21)-1,7)+1,MOD(הגדרות!$D$19-WEEKDAY(B21)-1,7)+1))</f>
        <v>46625</v>
      </c>
    </row>
    <row r="22" customFormat="false" ht="19.5" hidden="false" customHeight="true" outlineLevel="0" collapsed="false">
      <c r="A22" s="38" t="n">
        <f aca="false">IF(B22="","",ROW()-14)</f>
        <v>8</v>
      </c>
      <c r="B22" s="39" t="n">
        <f aca="false">IF(K21="","",IF(K21&gt;$K$2,"",K21))</f>
        <v>46625</v>
      </c>
      <c r="C22" s="38" t="str">
        <f aca="false">IF(B22="","",INDEX(הגדרות!$F$5:$F$11,WEEKDAY(B22)))</f>
        <v>חמישי</v>
      </c>
      <c r="D22" s="40" t="str">
        <f aca="false">IF(B22="","","הדרכה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2" s="41" t="s">
        <v>83</v>
      </c>
      <c r="F22" s="42" t="n">
        <f aca="false">IF(B22="","",IF(E22="לא",0,הגדרות!$C$22))</f>
        <v>3.5</v>
      </c>
      <c r="G22" s="43" t="n">
        <f aca="false">IF(B22="","",F22*הגדרות!$C$24)</f>
        <v>175</v>
      </c>
      <c r="H22" s="44"/>
      <c r="I22" s="45"/>
      <c r="K22" s="27" t="n">
        <f aca="false">IF(B22="","",B22+MIN(MOD(הגדרות!$D$18-WEEKDAY(B22)-1,7)+1,MOD(הגדרות!$D$19-WEEKDAY(B22)-1,7)+1))</f>
        <v>46628</v>
      </c>
    </row>
    <row r="23" customFormat="false" ht="19.5" hidden="false" customHeight="true" outlineLevel="0" collapsed="false">
      <c r="A23" s="38" t="n">
        <f aca="false">IF(B23="","",ROW()-14)</f>
        <v>9</v>
      </c>
      <c r="B23" s="39" t="n">
        <f aca="false">IF(K22="","",IF(K22&gt;$K$2,"",K22))</f>
        <v>46628</v>
      </c>
      <c r="C23" s="38" t="str">
        <f aca="false">IF(B23="","",INDEX(הגדרות!$F$5:$F$11,WEEKDAY(B23)))</f>
        <v>ראשון</v>
      </c>
      <c r="D23" s="40" t="str">
        <f aca="false">IF(B23="","","הדרכה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3" s="41" t="s">
        <v>83</v>
      </c>
      <c r="F23" s="42" t="n">
        <f aca="false">IF(B23="","",IF(E23="לא",0,הגדרות!$C$22))</f>
        <v>3.5</v>
      </c>
      <c r="G23" s="43" t="n">
        <f aca="false">IF(B23="","",F23*הגדרות!$C$24)</f>
        <v>175</v>
      </c>
      <c r="H23" s="44"/>
      <c r="I23" s="45"/>
      <c r="K23" s="27" t="n">
        <f aca="false">IF(B23="","",B23+MIN(MOD(הגדרות!$D$18-WEEKDAY(B23)-1,7)+1,MOD(הגדרות!$D$19-WEEKDAY(B23)-1,7)+1))</f>
        <v>46632</v>
      </c>
    </row>
    <row r="24" customFormat="false" ht="19.5" hidden="false" customHeight="true" outlineLevel="0" collapsed="false">
      <c r="A24" s="38" t="str">
        <f aca="false">IF(B24="","",ROW()-14)</f>
        <v/>
      </c>
      <c r="B24" s="39" t="str">
        <f aca="false">IF(K23="","",IF(K23&gt;$K$2,"",K23))</f>
        <v/>
      </c>
      <c r="C24" s="38" t="str">
        <f aca="false">IF(B24="","",INDEX(הגדרות!$F$5:$F$11,WEEKDAY(B24)))</f>
        <v/>
      </c>
      <c r="D24" s="40" t="str">
        <f aca="false">IF(B24="","","הדרכה "&amp;TEXT(HOUR(הגדרות!$C$20),"00")&amp;":"&amp;TEXT(MINUTE(הגדרות!$C$20),"00")&amp;"–"&amp;TEXT(HOUR(הגדרות!$C$21),"00")&amp;":"&amp;TEXT(MINUTE(הגדרות!$C$21),"00"))</f>
        <v/>
      </c>
      <c r="E24" s="41" t="s">
        <v>83</v>
      </c>
      <c r="F24" s="42" t="str">
        <f aca="false">IF(B24="","",IF(E24="לא",0,הגדרות!$C$22))</f>
        <v/>
      </c>
      <c r="G24" s="43" t="str">
        <f aca="false">IF(B24="","",F24*הגדרות!$C$24)</f>
        <v/>
      </c>
      <c r="H24" s="44"/>
      <c r="I24" s="45"/>
      <c r="K24" s="27" t="str">
        <f aca="false">IF(B24="","",B24+MIN(MOD(הגדרות!$D$18-WEEKDAY(B24)-1,7)+1,MOD(הגדרות!$D$19-WEEKDAY(B24)-1,7)+1))</f>
        <v/>
      </c>
    </row>
    <row r="25" customFormat="false" ht="19.5" hidden="false" customHeight="true" outlineLevel="0" collapsed="false">
      <c r="A25" s="38" t="n">
        <f aca="false">COUNT($B$15:$B$24)+1</f>
        <v>10</v>
      </c>
      <c r="B25" s="46"/>
      <c r="C25" s="38" t="str">
        <f aca="false">IF(B25="","",INDEX(הגדרות!$F$5:$F$11,WEEKDAY(B25)))</f>
        <v/>
      </c>
      <c r="D25" s="40" t="s">
        <v>84</v>
      </c>
      <c r="E25" s="41" t="s">
        <v>83</v>
      </c>
      <c r="F25" s="42" t="n">
        <f aca="false">IF(E25="לא",0,הגדרות!$C$23)</f>
        <v>1</v>
      </c>
      <c r="G25" s="43" t="n">
        <f aca="false">F25*הגדרות!$C$24</f>
        <v>50</v>
      </c>
      <c r="H25" s="44"/>
      <c r="I25" s="45"/>
      <c r="K25" s="27"/>
    </row>
    <row r="26" customFormat="false" ht="21.75" hidden="false" customHeight="true" outlineLevel="0" collapsed="false">
      <c r="A26" s="47" t="s">
        <v>85</v>
      </c>
      <c r="B26" s="47"/>
      <c r="C26" s="47"/>
      <c r="D26" s="47"/>
      <c r="E26" s="47"/>
      <c r="F26" s="48" t="n">
        <f aca="false">SUM(F15:F25)</f>
        <v>32.5</v>
      </c>
      <c r="G26" s="49" t="n">
        <f aca="false">SUM(G15:G25)</f>
        <v>1625</v>
      </c>
      <c r="H26" s="47"/>
      <c r="I26" s="49" t="n">
        <f aca="false">SUM(I15:I25)</f>
        <v>0</v>
      </c>
    </row>
    <row r="28" customFormat="false" ht="19.5" hidden="false" customHeight="true" outlineLevel="0" collapsed="false">
      <c r="A28" s="50" t="s">
        <v>86</v>
      </c>
      <c r="B28" s="50"/>
      <c r="C28" s="50"/>
      <c r="D28" s="50"/>
      <c r="F28" s="40" t="s">
        <v>87</v>
      </c>
      <c r="G28" s="40"/>
      <c r="H28" s="40"/>
      <c r="I28" s="42" t="n">
        <f aca="false">F26</f>
        <v>32.5</v>
      </c>
    </row>
    <row r="29" customFormat="false" ht="30" hidden="false" customHeight="true" outlineLevel="0" collapsed="false">
      <c r="A29" s="51" t="str">
        <f aca="false">"• "&amp;הגדרות!$C$17&amp;": ימי "&amp;הגדרות!$C$18&amp;" ו"&amp;הגדרות!$C$19&amp;", "&amp;TEXT(HOUR(הגדרות!$C$20),"00")&amp;":"&amp;TEXT(MINUTE(הגדרות!$C$20),"00")&amp;"–"&amp;TEXT(HOUR(הגדרות!$C$21),"00")&amp;":"&amp;TEXT(MINUTE(הגדרות!$C$21),"00")&amp;" ("&amp;הגדרות!$C$22&amp;" שעות ליום), וישיבת צוות חודשית ("&amp;הגדרות!$C$23&amp;" ש׳)."</f>
        <v>• הדרכת שיקום: ימי ראשון וחמישי, 09:00–12:30 (3.5 שעות ליום), וישיבת צוות חודשית (1 ש׳).</v>
      </c>
      <c r="B29" s="51"/>
      <c r="C29" s="51"/>
      <c r="D29" s="51"/>
      <c r="E29" s="51"/>
      <c r="F29" s="40" t="str">
        <f aca="false">"הדרכת שיקום ("&amp;TEXT(F26,"0.0")&amp;" שעות × "&amp;הגדרות!$C$24&amp;" ₪)"</f>
        <v>הדרכת שיקום (32.5 שעות × 50 ₪)</v>
      </c>
      <c r="G29" s="40"/>
      <c r="H29" s="40"/>
      <c r="I29" s="43" t="n">
        <f aca="false">G26</f>
        <v>1625</v>
      </c>
    </row>
    <row r="30" customFormat="false" ht="19.5" hidden="false" customHeight="true" outlineLevel="0" collapsed="false">
      <c r="A30" s="51" t="str">
        <f aca="false">IF(הגדרות!$C$28="","","• "&amp;הגדרות!$C$28)</f>
        <v>• התעריף השעתי אינו כולל מע״מ. מע״מ יתווסף כחוק.</v>
      </c>
      <c r="B30" s="51"/>
      <c r="C30" s="51"/>
      <c r="D30" s="51"/>
      <c r="E30" s="51"/>
      <c r="F30" s="40" t="s">
        <v>88</v>
      </c>
      <c r="G30" s="40"/>
      <c r="H30" s="40"/>
      <c r="I30" s="43" t="n">
        <f aca="false">I26</f>
        <v>0</v>
      </c>
    </row>
    <row r="31" customFormat="false" ht="19.5" hidden="false" customHeight="true" outlineLevel="0" collapsed="false">
      <c r="A31" s="51" t="str">
        <f aca="false">IF(הגדרות!$C$29="","","• "&amp;הגדרות!$C$29)</f>
        <v>• פרויקטים פרטיים מתומחרים בנפרד, לפי הזמנת החווה.</v>
      </c>
      <c r="B31" s="51"/>
      <c r="C31" s="51"/>
      <c r="D31" s="51"/>
      <c r="E31" s="51"/>
      <c r="F31" s="52" t="s">
        <v>89</v>
      </c>
      <c r="G31" s="52"/>
      <c r="H31" s="52"/>
      <c r="I31" s="53" t="n">
        <f aca="false">I29+I30</f>
        <v>1625</v>
      </c>
    </row>
    <row r="32" customFormat="false" ht="19.5" hidden="false" customHeight="true" outlineLevel="0" collapsed="false">
      <c r="A32" s="51" t="str">
        <f aca="false">IF(הגדרות!$C$30="","","• "&amp;הגדרות!$C$30)</f>
        <v/>
      </c>
      <c r="B32" s="51"/>
      <c r="C32" s="51"/>
      <c r="D32" s="51"/>
      <c r="E32" s="51"/>
      <c r="F32" s="40" t="str">
        <f aca="false">"מע״מ "&amp;ROUND(הגדרות!$C$25*100,1)&amp;"%"</f>
        <v>מע״מ 18%</v>
      </c>
      <c r="G32" s="40"/>
      <c r="H32" s="40"/>
      <c r="I32" s="43" t="n">
        <f aca="false">ROUND(I31*הגדרות!$C$25,2)</f>
        <v>292.5</v>
      </c>
    </row>
    <row r="33" customFormat="false" ht="24" hidden="false" customHeight="true" outlineLevel="0" collapsed="false">
      <c r="F33" s="54" t="s">
        <v>90</v>
      </c>
      <c r="G33" s="54"/>
      <c r="H33" s="54"/>
      <c r="I33" s="55" t="n">
        <f aca="false">I31+I32</f>
        <v>1917.5</v>
      </c>
    </row>
    <row r="36" customFormat="false" ht="15" hidden="false" customHeight="false" outlineLevel="0" collapsed="false">
      <c r="A36" s="56" t="str">
        <f aca="false">"בברכה, "&amp;הגדרות!$C$6</f>
        <v>בברכה, (למילוי)</v>
      </c>
      <c r="B36" s="56"/>
      <c r="C36" s="56"/>
      <c r="D36" s="56"/>
      <c r="F36" s="56" t="s">
        <v>91</v>
      </c>
      <c r="G36" s="56"/>
      <c r="H36" s="56"/>
      <c r="I36" s="56"/>
    </row>
  </sheetData>
  <mergeCells count="44">
    <mergeCell ref="A1:I1"/>
    <mergeCell ref="A2:I2"/>
    <mergeCell ref="A4:D4"/>
    <mergeCell ref="F4:I4"/>
    <mergeCell ref="A5:B5"/>
    <mergeCell ref="C5:D5"/>
    <mergeCell ref="F5:G5"/>
    <mergeCell ref="H5:I5"/>
    <mergeCell ref="A6:B6"/>
    <mergeCell ref="C6:D6"/>
    <mergeCell ref="F6:G6"/>
    <mergeCell ref="H6:I6"/>
    <mergeCell ref="A7:B7"/>
    <mergeCell ref="C7:D7"/>
    <mergeCell ref="F7:G7"/>
    <mergeCell ref="H7:I7"/>
    <mergeCell ref="A8:B8"/>
    <mergeCell ref="C8:D8"/>
    <mergeCell ref="A9:B9"/>
    <mergeCell ref="C9:D9"/>
    <mergeCell ref="A11:B11"/>
    <mergeCell ref="C11:D11"/>
    <mergeCell ref="F11:G11"/>
    <mergeCell ref="H11:I11"/>
    <mergeCell ref="A12:B12"/>
    <mergeCell ref="C12:D12"/>
    <mergeCell ref="F12:G12"/>
    <mergeCell ref="H12:I12"/>
    <mergeCell ref="A13:G13"/>
    <mergeCell ref="H13:I13"/>
    <mergeCell ref="A26:E26"/>
    <mergeCell ref="A28:D28"/>
    <mergeCell ref="F28:H28"/>
    <mergeCell ref="A29:E29"/>
    <mergeCell ref="F29:H29"/>
    <mergeCell ref="A30:E30"/>
    <mergeCell ref="F30:H30"/>
    <mergeCell ref="A31:E31"/>
    <mergeCell ref="F31:H31"/>
    <mergeCell ref="A32:E32"/>
    <mergeCell ref="F32:H32"/>
    <mergeCell ref="F33:H33"/>
    <mergeCell ref="A36:D36"/>
    <mergeCell ref="F36:I36"/>
  </mergeCells>
  <conditionalFormatting sqref="E15:E24">
    <cfRule type="expression" priority="2" aboveAverage="0" equalAverage="0" bottom="0" percent="0" rank="0" text="" dxfId="0">
      <formula>$B15=""</formula>
    </cfRule>
  </conditionalFormatting>
  <conditionalFormatting sqref="A15:G25">
    <cfRule type="expression" priority="3" aboveAverage="0" equalAverage="0" bottom="0" percent="0" rank="0" text="" dxfId="1">
      <formula>$E15="לא"</formula>
    </cfRule>
  </conditionalFormatting>
  <dataValidations count="1">
    <dataValidation allowBlank="true" errorStyle="stop" operator="between" showDropDown="false" showErrorMessage="false" showInputMessage="false" sqref="E15:E25" type="list">
      <formula1>"כן,לא"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true" outlineLevel="0" max="11" min="11" style="0" width="13"/>
  </cols>
  <sheetData>
    <row r="1" customFormat="false" ht="36" hidden="false" customHeight="true" outlineLevel="0" collapsed="false">
      <c r="A1" s="26" t="s">
        <v>67</v>
      </c>
      <c r="B1" s="26"/>
      <c r="C1" s="26"/>
      <c r="D1" s="26"/>
      <c r="E1" s="26"/>
      <c r="F1" s="26"/>
      <c r="G1" s="26"/>
      <c r="H1" s="26"/>
      <c r="I1" s="26"/>
      <c r="K1" s="27" t="n">
        <f aca="false">DATE(YEAR($H$11),MONTH($H$11),1)</f>
        <v>46631</v>
      </c>
    </row>
    <row r="2" customFormat="false" ht="24" hidden="false" customHeight="true" outlineLevel="0" collapsed="false">
      <c r="A2" s="28" t="str">
        <f aca="false">הגדרות!$C$17&amp;" · "&amp;CHOOSE(MONTH($K$1),"ינואר","פברואר","מרץ","אפריל","מאי","יוני","יולי","אוגוסט","ספטמבר","אוקטובר","נובמבר","דצמבר")&amp;" "&amp;YEAR($K$1)</f>
        <v>הדרכת שיקום · ספטמבר 2027</v>
      </c>
      <c r="B2" s="28"/>
      <c r="C2" s="28"/>
      <c r="D2" s="28"/>
      <c r="E2" s="28"/>
      <c r="F2" s="28"/>
      <c r="G2" s="28"/>
      <c r="H2" s="28"/>
      <c r="I2" s="28"/>
      <c r="K2" s="27" t="n">
        <f aca="false">EOMONTH($K$1,0)</f>
        <v>46660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9" t="s">
        <v>68</v>
      </c>
      <c r="B4" s="29"/>
      <c r="C4" s="29"/>
      <c r="D4" s="29"/>
      <c r="F4" s="29" t="s">
        <v>69</v>
      </c>
      <c r="G4" s="29"/>
      <c r="H4" s="29"/>
      <c r="I4" s="29"/>
    </row>
    <row r="5" customFormat="false" ht="15" hidden="false" customHeight="false" outlineLevel="0" collapsed="false">
      <c r="A5" s="30" t="s">
        <v>28</v>
      </c>
      <c r="B5" s="30"/>
      <c r="C5" s="31" t="str">
        <f aca="false">הגדרות!$C$5</f>
        <v>הנגרייה</v>
      </c>
      <c r="D5" s="31"/>
      <c r="F5" s="30" t="s">
        <v>44</v>
      </c>
      <c r="G5" s="30"/>
      <c r="H5" s="31" t="str">
        <f aca="false">הגדרות!$C$12</f>
        <v>חוות רום</v>
      </c>
      <c r="I5" s="31"/>
    </row>
    <row r="6" customFormat="false" ht="15" hidden="false" customHeight="false" outlineLevel="0" collapsed="false">
      <c r="A6" s="30" t="s">
        <v>31</v>
      </c>
      <c r="B6" s="30"/>
      <c r="C6" s="31" t="str">
        <f aca="false">הגדרות!$C$6</f>
        <v>(למילוי)</v>
      </c>
      <c r="D6" s="31"/>
      <c r="F6" s="30" t="s">
        <v>46</v>
      </c>
      <c r="G6" s="30"/>
      <c r="H6" s="31" t="str">
        <f aca="false">הגדרות!$C$13</f>
        <v>הר כמון</v>
      </c>
      <c r="I6" s="31"/>
    </row>
    <row r="7" customFormat="false" ht="15" hidden="false" customHeight="false" outlineLevel="0" collapsed="false">
      <c r="A7" s="30" t="s">
        <v>70</v>
      </c>
      <c r="B7" s="30"/>
      <c r="C7" s="31" t="str">
        <f aca="false">הגדרות!$C$7</f>
        <v>(למילוי)</v>
      </c>
      <c r="D7" s="31"/>
      <c r="F7" s="30" t="s">
        <v>48</v>
      </c>
      <c r="G7" s="30"/>
      <c r="H7" s="31" t="str">
        <f aca="false">הגדרות!$C$14</f>
        <v>(למילוי)</v>
      </c>
      <c r="I7" s="31"/>
    </row>
    <row r="8" customFormat="false" ht="15" hidden="false" customHeight="false" outlineLevel="0" collapsed="false">
      <c r="A8" s="30" t="s">
        <v>36</v>
      </c>
      <c r="B8" s="30"/>
      <c r="C8" s="31" t="str">
        <f aca="false">הגדרות!$C$8</f>
        <v>(למילוי)</v>
      </c>
      <c r="D8" s="31"/>
    </row>
    <row r="9" customFormat="false" ht="15" hidden="false" customHeight="false" outlineLevel="0" collapsed="false">
      <c r="A9" s="30" t="s">
        <v>38</v>
      </c>
      <c r="B9" s="30"/>
      <c r="C9" s="31" t="str">
        <f aca="false">הגדרות!$C$9</f>
        <v>nettaamit21@gmail.com</v>
      </c>
      <c r="D9" s="31"/>
    </row>
    <row r="10" customFormat="false" ht="9.75" hidden="false" customHeight="true" outlineLevel="0" collapsed="false"/>
    <row r="11" customFormat="false" ht="15" hidden="false" customHeight="false" outlineLevel="0" collapsed="false">
      <c r="A11" s="30" t="s">
        <v>71</v>
      </c>
      <c r="B11" s="30"/>
      <c r="C11" s="31" t="str">
        <f aca="false">YEAR($K$1)&amp;"-"&amp;TEXT(MONTH($K$1),"00")</f>
        <v>2027-09</v>
      </c>
      <c r="D11" s="31"/>
      <c r="F11" s="30" t="s">
        <v>72</v>
      </c>
      <c r="G11" s="30"/>
      <c r="H11" s="32" t="n">
        <v>46631</v>
      </c>
      <c r="I11" s="32"/>
    </row>
    <row r="12" customFormat="false" ht="15" hidden="false" customHeight="false" outlineLevel="0" collapsed="false">
      <c r="A12" s="30" t="s">
        <v>73</v>
      </c>
      <c r="B12" s="30"/>
      <c r="C12" s="33" t="n">
        <f aca="false">$K$2</f>
        <v>46660</v>
      </c>
      <c r="D12" s="33"/>
      <c r="F12" s="30" t="s">
        <v>74</v>
      </c>
      <c r="G12" s="30"/>
      <c r="H12" s="31" t="str">
        <f aca="false">הגדרות!$C$18&amp;" ו"&amp;הגדרות!$C$19&amp;", "&amp;TEXT(HOUR(הגדרות!$C$20),"00")&amp;":"&amp;TEXT(MINUTE(הגדרות!$C$20),"00")&amp;"–"&amp;TEXT(HOUR(הגדרות!$C$21),"00")&amp;":"&amp;TEXT(MINUTE(הגדרות!$C$21),"00")</f>
        <v>ראשון וחמישי, 09:00–12:30</v>
      </c>
      <c r="I12" s="31"/>
    </row>
    <row r="13" customFormat="false" ht="19.5" hidden="false" customHeight="true" outlineLevel="0" collapsed="false">
      <c r="A13" s="34" t="s">
        <v>75</v>
      </c>
      <c r="B13" s="34"/>
      <c r="C13" s="34"/>
      <c r="D13" s="34"/>
      <c r="E13" s="34"/>
      <c r="F13" s="34"/>
      <c r="G13" s="34"/>
      <c r="H13" s="35" t="s">
        <v>76</v>
      </c>
      <c r="I13" s="35"/>
    </row>
    <row r="14" customFormat="false" ht="27.75" hidden="false" customHeight="true" outlineLevel="0" collapsed="false">
      <c r="A14" s="36" t="s">
        <v>77</v>
      </c>
      <c r="B14" s="36" t="s">
        <v>73</v>
      </c>
      <c r="C14" s="36" t="s">
        <v>78</v>
      </c>
      <c r="D14" s="36" t="s">
        <v>79</v>
      </c>
      <c r="E14" s="36" t="s">
        <v>80</v>
      </c>
      <c r="F14" s="36" t="s">
        <v>81</v>
      </c>
      <c r="G14" s="36" t="s">
        <v>82</v>
      </c>
      <c r="H14" s="37" t="s">
        <v>21</v>
      </c>
      <c r="I14" s="37" t="s">
        <v>22</v>
      </c>
    </row>
    <row r="15" customFormat="false" ht="19.5" hidden="false" customHeight="true" outlineLevel="0" collapsed="false">
      <c r="A15" s="38" t="n">
        <f aca="false">IF(B15="","",ROW()-14)</f>
        <v>1</v>
      </c>
      <c r="B15" s="39" t="n">
        <f aca="false">$K$1+MIN(MOD(הגדרות!$D$18-WEEKDAY($K$1),7),MOD(הגדרות!$D$19-WEEKDAY($K$1),7))</f>
        <v>46632</v>
      </c>
      <c r="C15" s="38" t="str">
        <f aca="false">IF(B15="","",INDEX(הגדרות!$F$5:$F$11,WEEKDAY(B15)))</f>
        <v>חמישי</v>
      </c>
      <c r="D15" s="40" t="str">
        <f aca="false">IF(B15="","","הדרכה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5" s="41" t="s">
        <v>83</v>
      </c>
      <c r="F15" s="42" t="n">
        <f aca="false">IF(B15="","",IF(E15="לא",0,הגדרות!$C$22))</f>
        <v>3.5</v>
      </c>
      <c r="G15" s="43" t="n">
        <f aca="false">IF(B15="","",F15*הגדרות!$C$24)</f>
        <v>175</v>
      </c>
      <c r="H15" s="44"/>
      <c r="I15" s="45"/>
      <c r="K15" s="27" t="n">
        <f aca="false">IF(B15="","",B15+MIN(MOD(הגדרות!$D$18-WEEKDAY(B15)-1,7)+1,MOD(הגדרות!$D$19-WEEKDAY(B15)-1,7)+1))</f>
        <v>46635</v>
      </c>
    </row>
    <row r="16" customFormat="false" ht="19.5" hidden="false" customHeight="true" outlineLevel="0" collapsed="false">
      <c r="A16" s="38" t="n">
        <f aca="false">IF(B16="","",ROW()-14)</f>
        <v>2</v>
      </c>
      <c r="B16" s="39" t="n">
        <f aca="false">IF(K15="","",IF(K15&gt;$K$2,"",K15))</f>
        <v>46635</v>
      </c>
      <c r="C16" s="38" t="str">
        <f aca="false">IF(B16="","",INDEX(הגדרות!$F$5:$F$11,WEEKDAY(B16)))</f>
        <v>ראשון</v>
      </c>
      <c r="D16" s="40" t="str">
        <f aca="false">IF(B16="","","הדרכה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6" s="41" t="s">
        <v>83</v>
      </c>
      <c r="F16" s="42" t="n">
        <f aca="false">IF(B16="","",IF(E16="לא",0,הגדרות!$C$22))</f>
        <v>3.5</v>
      </c>
      <c r="G16" s="43" t="n">
        <f aca="false">IF(B16="","",F16*הגדרות!$C$24)</f>
        <v>175</v>
      </c>
      <c r="H16" s="44"/>
      <c r="I16" s="45"/>
      <c r="K16" s="27" t="n">
        <f aca="false">IF(B16="","",B16+MIN(MOD(הגדרות!$D$18-WEEKDAY(B16)-1,7)+1,MOD(הגדרות!$D$19-WEEKDAY(B16)-1,7)+1))</f>
        <v>46639</v>
      </c>
    </row>
    <row r="17" customFormat="false" ht="19.5" hidden="false" customHeight="true" outlineLevel="0" collapsed="false">
      <c r="A17" s="38" t="n">
        <f aca="false">IF(B17="","",ROW()-14)</f>
        <v>3</v>
      </c>
      <c r="B17" s="39" t="n">
        <f aca="false">IF(K16="","",IF(K16&gt;$K$2,"",K16))</f>
        <v>46639</v>
      </c>
      <c r="C17" s="38" t="str">
        <f aca="false">IF(B17="","",INDEX(הגדרות!$F$5:$F$11,WEEKDAY(B17)))</f>
        <v>חמישי</v>
      </c>
      <c r="D17" s="40" t="str">
        <f aca="false">IF(B17="","","הדרכה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7" s="41" t="s">
        <v>83</v>
      </c>
      <c r="F17" s="42" t="n">
        <f aca="false">IF(B17="","",IF(E17="לא",0,הגדרות!$C$22))</f>
        <v>3.5</v>
      </c>
      <c r="G17" s="43" t="n">
        <f aca="false">IF(B17="","",F17*הגדרות!$C$24)</f>
        <v>175</v>
      </c>
      <c r="H17" s="44"/>
      <c r="I17" s="45"/>
      <c r="K17" s="27" t="n">
        <f aca="false">IF(B17="","",B17+MIN(MOD(הגדרות!$D$18-WEEKDAY(B17)-1,7)+1,MOD(הגדרות!$D$19-WEEKDAY(B17)-1,7)+1))</f>
        <v>46642</v>
      </c>
    </row>
    <row r="18" customFormat="false" ht="19.5" hidden="false" customHeight="true" outlineLevel="0" collapsed="false">
      <c r="A18" s="38" t="n">
        <f aca="false">IF(B18="","",ROW()-14)</f>
        <v>4</v>
      </c>
      <c r="B18" s="39" t="n">
        <f aca="false">IF(K17="","",IF(K17&gt;$K$2,"",K17))</f>
        <v>46642</v>
      </c>
      <c r="C18" s="38" t="str">
        <f aca="false">IF(B18="","",INDEX(הגדרות!$F$5:$F$11,WEEKDAY(B18)))</f>
        <v>ראשון</v>
      </c>
      <c r="D18" s="40" t="str">
        <f aca="false">IF(B18="","","הדרכה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8" s="41" t="s">
        <v>83</v>
      </c>
      <c r="F18" s="42" t="n">
        <f aca="false">IF(B18="","",IF(E18="לא",0,הגדרות!$C$22))</f>
        <v>3.5</v>
      </c>
      <c r="G18" s="43" t="n">
        <f aca="false">IF(B18="","",F18*הגדרות!$C$24)</f>
        <v>175</v>
      </c>
      <c r="H18" s="44"/>
      <c r="I18" s="45"/>
      <c r="K18" s="27" t="n">
        <f aca="false">IF(B18="","",B18+MIN(MOD(הגדרות!$D$18-WEEKDAY(B18)-1,7)+1,MOD(הגדרות!$D$19-WEEKDAY(B18)-1,7)+1))</f>
        <v>46646</v>
      </c>
    </row>
    <row r="19" customFormat="false" ht="19.5" hidden="false" customHeight="true" outlineLevel="0" collapsed="false">
      <c r="A19" s="38" t="n">
        <f aca="false">IF(B19="","",ROW()-14)</f>
        <v>5</v>
      </c>
      <c r="B19" s="39" t="n">
        <f aca="false">IF(K18="","",IF(K18&gt;$K$2,"",K18))</f>
        <v>46646</v>
      </c>
      <c r="C19" s="38" t="str">
        <f aca="false">IF(B19="","",INDEX(הגדרות!$F$5:$F$11,WEEKDAY(B19)))</f>
        <v>חמישי</v>
      </c>
      <c r="D19" s="40" t="str">
        <f aca="false">IF(B19="","","הדרכה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19" s="41" t="s">
        <v>83</v>
      </c>
      <c r="F19" s="42" t="n">
        <f aca="false">IF(B19="","",IF(E19="לא",0,הגדרות!$C$22))</f>
        <v>3.5</v>
      </c>
      <c r="G19" s="43" t="n">
        <f aca="false">IF(B19="","",F19*הגדרות!$C$24)</f>
        <v>175</v>
      </c>
      <c r="H19" s="44"/>
      <c r="I19" s="45"/>
      <c r="K19" s="27" t="n">
        <f aca="false">IF(B19="","",B19+MIN(MOD(הגדרות!$D$18-WEEKDAY(B19)-1,7)+1,MOD(הגדרות!$D$19-WEEKDAY(B19)-1,7)+1))</f>
        <v>46649</v>
      </c>
    </row>
    <row r="20" customFormat="false" ht="19.5" hidden="false" customHeight="true" outlineLevel="0" collapsed="false">
      <c r="A20" s="38" t="n">
        <f aca="false">IF(B20="","",ROW()-14)</f>
        <v>6</v>
      </c>
      <c r="B20" s="39" t="n">
        <f aca="false">IF(K19="","",IF(K19&gt;$K$2,"",K19))</f>
        <v>46649</v>
      </c>
      <c r="C20" s="38" t="str">
        <f aca="false">IF(B20="","",INDEX(הגדרות!$F$5:$F$11,WEEKDAY(B20)))</f>
        <v>ראשון</v>
      </c>
      <c r="D20" s="40" t="str">
        <f aca="false">IF(B20="","","הדרכה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0" s="41" t="s">
        <v>83</v>
      </c>
      <c r="F20" s="42" t="n">
        <f aca="false">IF(B20="","",IF(E20="לא",0,הגדרות!$C$22))</f>
        <v>3.5</v>
      </c>
      <c r="G20" s="43" t="n">
        <f aca="false">IF(B20="","",F20*הגדרות!$C$24)</f>
        <v>175</v>
      </c>
      <c r="H20" s="44"/>
      <c r="I20" s="45"/>
      <c r="K20" s="27" t="n">
        <f aca="false">IF(B20="","",B20+MIN(MOD(הגדרות!$D$18-WEEKDAY(B20)-1,7)+1,MOD(הגדרות!$D$19-WEEKDAY(B20)-1,7)+1))</f>
        <v>46653</v>
      </c>
    </row>
    <row r="21" customFormat="false" ht="19.5" hidden="false" customHeight="true" outlineLevel="0" collapsed="false">
      <c r="A21" s="38" t="n">
        <f aca="false">IF(B21="","",ROW()-14)</f>
        <v>7</v>
      </c>
      <c r="B21" s="39" t="n">
        <f aca="false">IF(K20="","",IF(K20&gt;$K$2,"",K20))</f>
        <v>46653</v>
      </c>
      <c r="C21" s="38" t="str">
        <f aca="false">IF(B21="","",INDEX(הגדרות!$F$5:$F$11,WEEKDAY(B21)))</f>
        <v>חמישי</v>
      </c>
      <c r="D21" s="40" t="str">
        <f aca="false">IF(B21="","","הדרכה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1" s="41" t="s">
        <v>83</v>
      </c>
      <c r="F21" s="42" t="n">
        <f aca="false">IF(B21="","",IF(E21="לא",0,הגדרות!$C$22))</f>
        <v>3.5</v>
      </c>
      <c r="G21" s="43" t="n">
        <f aca="false">IF(B21="","",F21*הגדרות!$C$24)</f>
        <v>175</v>
      </c>
      <c r="H21" s="44"/>
      <c r="I21" s="45"/>
      <c r="K21" s="27" t="n">
        <f aca="false">IF(B21="","",B21+MIN(MOD(הגדרות!$D$18-WEEKDAY(B21)-1,7)+1,MOD(הגדרות!$D$19-WEEKDAY(B21)-1,7)+1))</f>
        <v>46656</v>
      </c>
    </row>
    <row r="22" customFormat="false" ht="19.5" hidden="false" customHeight="true" outlineLevel="0" collapsed="false">
      <c r="A22" s="38" t="n">
        <f aca="false">IF(B22="","",ROW()-14)</f>
        <v>8</v>
      </c>
      <c r="B22" s="39" t="n">
        <f aca="false">IF(K21="","",IF(K21&gt;$K$2,"",K21))</f>
        <v>46656</v>
      </c>
      <c r="C22" s="38" t="str">
        <f aca="false">IF(B22="","",INDEX(הגדרות!$F$5:$F$11,WEEKDAY(B22)))</f>
        <v>ראשון</v>
      </c>
      <c r="D22" s="40" t="str">
        <f aca="false">IF(B22="","","הדרכה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2" s="41" t="s">
        <v>83</v>
      </c>
      <c r="F22" s="42" t="n">
        <f aca="false">IF(B22="","",IF(E22="לא",0,הגדרות!$C$22))</f>
        <v>3.5</v>
      </c>
      <c r="G22" s="43" t="n">
        <f aca="false">IF(B22="","",F22*הגדרות!$C$24)</f>
        <v>175</v>
      </c>
      <c r="H22" s="44"/>
      <c r="I22" s="45"/>
      <c r="K22" s="27" t="n">
        <f aca="false">IF(B22="","",B22+MIN(MOD(הגדרות!$D$18-WEEKDAY(B22)-1,7)+1,MOD(הגדרות!$D$19-WEEKDAY(B22)-1,7)+1))</f>
        <v>46660</v>
      </c>
    </row>
    <row r="23" customFormat="false" ht="19.5" hidden="false" customHeight="true" outlineLevel="0" collapsed="false">
      <c r="A23" s="38" t="n">
        <f aca="false">IF(B23="","",ROW()-14)</f>
        <v>9</v>
      </c>
      <c r="B23" s="39" t="n">
        <f aca="false">IF(K22="","",IF(K22&gt;$K$2,"",K22))</f>
        <v>46660</v>
      </c>
      <c r="C23" s="38" t="str">
        <f aca="false">IF(B23="","",INDEX(הגדרות!$F$5:$F$11,WEEKDAY(B23)))</f>
        <v>חמישי</v>
      </c>
      <c r="D23" s="40" t="str">
        <f aca="false">IF(B23="","","הדרכה "&amp;TEXT(HOUR(הגדרות!$C$20),"00")&amp;":"&amp;TEXT(MINUTE(הגדרות!$C$20),"00")&amp;"–"&amp;TEXT(HOUR(הגדרות!$C$21),"00")&amp;":"&amp;TEXT(MINUTE(הגדרות!$C$21),"00"))</f>
        <v>הדרכה 09:00–12:30</v>
      </c>
      <c r="E23" s="41" t="s">
        <v>83</v>
      </c>
      <c r="F23" s="42" t="n">
        <f aca="false">IF(B23="","",IF(E23="לא",0,הגדרות!$C$22))</f>
        <v>3.5</v>
      </c>
      <c r="G23" s="43" t="n">
        <f aca="false">IF(B23="","",F23*הגדרות!$C$24)</f>
        <v>175</v>
      </c>
      <c r="H23" s="44"/>
      <c r="I23" s="45"/>
      <c r="K23" s="27" t="n">
        <f aca="false">IF(B23="","",B23+MIN(MOD(הגדרות!$D$18-WEEKDAY(B23)-1,7)+1,MOD(הגדרות!$D$19-WEEKDAY(B23)-1,7)+1))</f>
        <v>46663</v>
      </c>
    </row>
    <row r="24" customFormat="false" ht="19.5" hidden="false" customHeight="true" outlineLevel="0" collapsed="false">
      <c r="A24" s="38" t="str">
        <f aca="false">IF(B24="","",ROW()-14)</f>
        <v/>
      </c>
      <c r="B24" s="39" t="str">
        <f aca="false">IF(K23="","",IF(K23&gt;$K$2,"",K23))</f>
        <v/>
      </c>
      <c r="C24" s="38" t="str">
        <f aca="false">IF(B24="","",INDEX(הגדרות!$F$5:$F$11,WEEKDAY(B24)))</f>
        <v/>
      </c>
      <c r="D24" s="40" t="str">
        <f aca="false">IF(B24="","","הדרכה "&amp;TEXT(HOUR(הגדרות!$C$20),"00")&amp;":"&amp;TEXT(MINUTE(הגדרות!$C$20),"00")&amp;"–"&amp;TEXT(HOUR(הגדרות!$C$21),"00")&amp;":"&amp;TEXT(MINUTE(הגדרות!$C$21),"00"))</f>
        <v/>
      </c>
      <c r="E24" s="41" t="s">
        <v>83</v>
      </c>
      <c r="F24" s="42" t="str">
        <f aca="false">IF(B24="","",IF(E24="לא",0,הגדרות!$C$22))</f>
        <v/>
      </c>
      <c r="G24" s="43" t="str">
        <f aca="false">IF(B24="","",F24*הגדרות!$C$24)</f>
        <v/>
      </c>
      <c r="H24" s="44"/>
      <c r="I24" s="45"/>
      <c r="K24" s="27" t="str">
        <f aca="false">IF(B24="","",B24+MIN(MOD(הגדרות!$D$18-WEEKDAY(B24)-1,7)+1,MOD(הגדרות!$D$19-WEEKDAY(B24)-1,7)+1))</f>
        <v/>
      </c>
    </row>
    <row r="25" customFormat="false" ht="19.5" hidden="false" customHeight="true" outlineLevel="0" collapsed="false">
      <c r="A25" s="38" t="n">
        <f aca="false">COUNT($B$15:$B$24)+1</f>
        <v>10</v>
      </c>
      <c r="B25" s="46"/>
      <c r="C25" s="38" t="str">
        <f aca="false">IF(B25="","",INDEX(הגדרות!$F$5:$F$11,WEEKDAY(B25)))</f>
        <v/>
      </c>
      <c r="D25" s="40" t="s">
        <v>84</v>
      </c>
      <c r="E25" s="41" t="s">
        <v>83</v>
      </c>
      <c r="F25" s="42" t="n">
        <f aca="false">IF(E25="לא",0,הגדרות!$C$23)</f>
        <v>1</v>
      </c>
      <c r="G25" s="43" t="n">
        <f aca="false">F25*הגדרות!$C$24</f>
        <v>50</v>
      </c>
      <c r="H25" s="44"/>
      <c r="I25" s="45"/>
      <c r="K25" s="27"/>
    </row>
    <row r="26" customFormat="false" ht="21.75" hidden="false" customHeight="true" outlineLevel="0" collapsed="false">
      <c r="A26" s="47" t="s">
        <v>85</v>
      </c>
      <c r="B26" s="47"/>
      <c r="C26" s="47"/>
      <c r="D26" s="47"/>
      <c r="E26" s="47"/>
      <c r="F26" s="48" t="n">
        <f aca="false">SUM(F15:F25)</f>
        <v>32.5</v>
      </c>
      <c r="G26" s="49" t="n">
        <f aca="false">SUM(G15:G25)</f>
        <v>1625</v>
      </c>
      <c r="H26" s="47"/>
      <c r="I26" s="49" t="n">
        <f aca="false">SUM(I15:I25)</f>
        <v>0</v>
      </c>
    </row>
    <row r="28" customFormat="false" ht="19.5" hidden="false" customHeight="true" outlineLevel="0" collapsed="false">
      <c r="A28" s="50" t="s">
        <v>86</v>
      </c>
      <c r="B28" s="50"/>
      <c r="C28" s="50"/>
      <c r="D28" s="50"/>
      <c r="F28" s="40" t="s">
        <v>87</v>
      </c>
      <c r="G28" s="40"/>
      <c r="H28" s="40"/>
      <c r="I28" s="42" t="n">
        <f aca="false">F26</f>
        <v>32.5</v>
      </c>
    </row>
    <row r="29" customFormat="false" ht="30" hidden="false" customHeight="true" outlineLevel="0" collapsed="false">
      <c r="A29" s="51" t="str">
        <f aca="false">"• "&amp;הגדרות!$C$17&amp;": ימי "&amp;הגדרות!$C$18&amp;" ו"&amp;הגדרות!$C$19&amp;", "&amp;TEXT(HOUR(הגדרות!$C$20),"00")&amp;":"&amp;TEXT(MINUTE(הגדרות!$C$20),"00")&amp;"–"&amp;TEXT(HOUR(הגדרות!$C$21),"00")&amp;":"&amp;TEXT(MINUTE(הגדרות!$C$21),"00")&amp;" ("&amp;הגדרות!$C$22&amp;" שעות ליום), וישיבת צוות חודשית ("&amp;הגדרות!$C$23&amp;" ש׳)."</f>
        <v>• הדרכת שיקום: ימי ראשון וחמישי, 09:00–12:30 (3.5 שעות ליום), וישיבת צוות חודשית (1 ש׳).</v>
      </c>
      <c r="B29" s="51"/>
      <c r="C29" s="51"/>
      <c r="D29" s="51"/>
      <c r="E29" s="51"/>
      <c r="F29" s="40" t="str">
        <f aca="false">"הדרכת שיקום ("&amp;TEXT(F26,"0.0")&amp;" שעות × "&amp;הגדרות!$C$24&amp;" ₪)"</f>
        <v>הדרכת שיקום (32.5 שעות × 50 ₪)</v>
      </c>
      <c r="G29" s="40"/>
      <c r="H29" s="40"/>
      <c r="I29" s="43" t="n">
        <f aca="false">G26</f>
        <v>1625</v>
      </c>
    </row>
    <row r="30" customFormat="false" ht="19.5" hidden="false" customHeight="true" outlineLevel="0" collapsed="false">
      <c r="A30" s="51" t="str">
        <f aca="false">IF(הגדרות!$C$28="","","• "&amp;הגדרות!$C$28)</f>
        <v>• התעריף השעתי אינו כולל מע״מ. מע״מ יתווסף כחוק.</v>
      </c>
      <c r="B30" s="51"/>
      <c r="C30" s="51"/>
      <c r="D30" s="51"/>
      <c r="E30" s="51"/>
      <c r="F30" s="40" t="s">
        <v>88</v>
      </c>
      <c r="G30" s="40"/>
      <c r="H30" s="40"/>
      <c r="I30" s="43" t="n">
        <f aca="false">I26</f>
        <v>0</v>
      </c>
    </row>
    <row r="31" customFormat="false" ht="19.5" hidden="false" customHeight="true" outlineLevel="0" collapsed="false">
      <c r="A31" s="51" t="str">
        <f aca="false">IF(הגדרות!$C$29="","","• "&amp;הגדרות!$C$29)</f>
        <v>• פרויקטים פרטיים מתומחרים בנפרד, לפי הזמנת החווה.</v>
      </c>
      <c r="B31" s="51"/>
      <c r="C31" s="51"/>
      <c r="D31" s="51"/>
      <c r="E31" s="51"/>
      <c r="F31" s="52" t="s">
        <v>89</v>
      </c>
      <c r="G31" s="52"/>
      <c r="H31" s="52"/>
      <c r="I31" s="53" t="n">
        <f aca="false">I29+I30</f>
        <v>1625</v>
      </c>
    </row>
    <row r="32" customFormat="false" ht="19.5" hidden="false" customHeight="true" outlineLevel="0" collapsed="false">
      <c r="A32" s="51" t="str">
        <f aca="false">IF(הגדרות!$C$30="","","• "&amp;הגדרות!$C$30)</f>
        <v/>
      </c>
      <c r="B32" s="51"/>
      <c r="C32" s="51"/>
      <c r="D32" s="51"/>
      <c r="E32" s="51"/>
      <c r="F32" s="40" t="str">
        <f aca="false">"מע״מ "&amp;ROUND(הגדרות!$C$25*100,1)&amp;"%"</f>
        <v>מע״מ 18%</v>
      </c>
      <c r="G32" s="40"/>
      <c r="H32" s="40"/>
      <c r="I32" s="43" t="n">
        <f aca="false">ROUND(I31*הגדרות!$C$25,2)</f>
        <v>292.5</v>
      </c>
    </row>
    <row r="33" customFormat="false" ht="24" hidden="false" customHeight="true" outlineLevel="0" collapsed="false">
      <c r="F33" s="54" t="s">
        <v>90</v>
      </c>
      <c r="G33" s="54"/>
      <c r="H33" s="54"/>
      <c r="I33" s="55" t="n">
        <f aca="false">I31+I32</f>
        <v>1917.5</v>
      </c>
    </row>
    <row r="36" customFormat="false" ht="15" hidden="false" customHeight="false" outlineLevel="0" collapsed="false">
      <c r="A36" s="56" t="str">
        <f aca="false">"בברכה, "&amp;הגדרות!$C$6</f>
        <v>בברכה, (למילוי)</v>
      </c>
      <c r="B36" s="56"/>
      <c r="C36" s="56"/>
      <c r="D36" s="56"/>
      <c r="F36" s="56" t="s">
        <v>91</v>
      </c>
      <c r="G36" s="56"/>
      <c r="H36" s="56"/>
      <c r="I36" s="56"/>
    </row>
  </sheetData>
  <mergeCells count="44">
    <mergeCell ref="A1:I1"/>
    <mergeCell ref="A2:I2"/>
    <mergeCell ref="A4:D4"/>
    <mergeCell ref="F4:I4"/>
    <mergeCell ref="A5:B5"/>
    <mergeCell ref="C5:D5"/>
    <mergeCell ref="F5:G5"/>
    <mergeCell ref="H5:I5"/>
    <mergeCell ref="A6:B6"/>
    <mergeCell ref="C6:D6"/>
    <mergeCell ref="F6:G6"/>
    <mergeCell ref="H6:I6"/>
    <mergeCell ref="A7:B7"/>
    <mergeCell ref="C7:D7"/>
    <mergeCell ref="F7:G7"/>
    <mergeCell ref="H7:I7"/>
    <mergeCell ref="A8:B8"/>
    <mergeCell ref="C8:D8"/>
    <mergeCell ref="A9:B9"/>
    <mergeCell ref="C9:D9"/>
    <mergeCell ref="A11:B11"/>
    <mergeCell ref="C11:D11"/>
    <mergeCell ref="F11:G11"/>
    <mergeCell ref="H11:I11"/>
    <mergeCell ref="A12:B12"/>
    <mergeCell ref="C12:D12"/>
    <mergeCell ref="F12:G12"/>
    <mergeCell ref="H12:I12"/>
    <mergeCell ref="A13:G13"/>
    <mergeCell ref="H13:I13"/>
    <mergeCell ref="A26:E26"/>
    <mergeCell ref="A28:D28"/>
    <mergeCell ref="F28:H28"/>
    <mergeCell ref="A29:E29"/>
    <mergeCell ref="F29:H29"/>
    <mergeCell ref="A30:E30"/>
    <mergeCell ref="F30:H30"/>
    <mergeCell ref="A31:E31"/>
    <mergeCell ref="F31:H31"/>
    <mergeCell ref="A32:E32"/>
    <mergeCell ref="F32:H32"/>
    <mergeCell ref="F33:H33"/>
    <mergeCell ref="A36:D36"/>
    <mergeCell ref="F36:I36"/>
  </mergeCells>
  <conditionalFormatting sqref="E15:E24">
    <cfRule type="expression" priority="2" aboveAverage="0" equalAverage="0" bottom="0" percent="0" rank="0" text="" dxfId="0">
      <formula>$B15=""</formula>
    </cfRule>
  </conditionalFormatting>
  <conditionalFormatting sqref="A15:G25">
    <cfRule type="expression" priority="3" aboveAverage="0" equalAverage="0" bottom="0" percent="0" rank="0" text="" dxfId="1">
      <formula>$E15="לא"</formula>
    </cfRule>
  </conditionalFormatting>
  <dataValidations count="1">
    <dataValidation allowBlank="true" errorStyle="stop" operator="between" showDropDown="false" showErrorMessage="false" showInputMessage="false" sqref="E15:E25" type="list">
      <formula1>"כן,לא"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2026-10-18T10:10:34Z</dcterms:created>
  <dc:creator>openpyxl</dc:creator>
  <dc:description/>
  <dc:language>en-US</dc:language>
  <cp:lastModifiedBy/>
  <dcterms:modified xsi:type="dcterms:W3CDTF">2026-10-18T10:10:35Z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